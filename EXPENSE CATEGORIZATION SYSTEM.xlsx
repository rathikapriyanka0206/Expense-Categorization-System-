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.A Rathika Priyanka\Downloads\"/>
    </mc:Choice>
  </mc:AlternateContent>
  <xr:revisionPtr revIDLastSave="0" documentId="13_ncr:1_{F67DCE89-F7AF-404C-88A1-80B0C3C7F187}" xr6:coauthVersionLast="47" xr6:coauthVersionMax="47" xr10:uidLastSave="{00000000-0000-0000-0000-000000000000}"/>
  <bookViews>
    <workbookView xWindow="-108" yWindow="-108" windowWidth="23256" windowHeight="12456" firstSheet="2" activeTab="3" xr2:uid="{5B33BAE1-98D0-4F0B-91BF-6FAF89C4F5F1}"/>
  </bookViews>
  <sheets>
    <sheet name="DATASET" sheetId="1" r:id="rId1"/>
    <sheet name="MAJOR KPI " sheetId="2" r:id="rId2"/>
    <sheet name="PIVOT TABLE" sheetId="4" r:id="rId3"/>
    <sheet name="Sheet1" sheetId="7" r:id="rId4"/>
  </sheets>
  <externalReferences>
    <externalReference r:id="rId5"/>
  </externalReferences>
  <calcPr calcId="191029" iterateDelta="1E-4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7" l="1"/>
  <c r="B57" i="7"/>
  <c r="B58" i="7"/>
  <c r="B48" i="7" l="1"/>
  <c r="B47" i="7"/>
  <c r="B46" i="7"/>
  <c r="B45" i="7"/>
  <c r="B40" i="7"/>
  <c r="B39" i="7"/>
  <c r="B38" i="7"/>
  <c r="B37" i="7"/>
  <c r="B30" i="7"/>
  <c r="A30" i="7"/>
  <c r="B29" i="7"/>
  <c r="A29" i="7"/>
  <c r="B28" i="7"/>
  <c r="A28" i="7"/>
  <c r="B27" i="7"/>
  <c r="A27" i="7"/>
  <c r="B26" i="7"/>
  <c r="A26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A8" i="7"/>
  <c r="I422" i="1" l="1"/>
  <c r="B25" i="2"/>
  <c r="B24" i="2"/>
  <c r="B26" i="2" s="1"/>
  <c r="B22" i="2"/>
  <c r="B19" i="2"/>
  <c r="B17" i="2"/>
  <c r="B15" i="2"/>
  <c r="B13" i="2"/>
  <c r="B12" i="2"/>
  <c r="B28" i="2" s="1"/>
  <c r="B8" i="2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27" i="2" l="1"/>
  <c r="B18" i="2"/>
  <c r="B23" i="2"/>
  <c r="B20" i="2"/>
  <c r="B14" i="2"/>
  <c r="B16" i="2"/>
</calcChain>
</file>

<file path=xl/sharedStrings.xml><?xml version="1.0" encoding="utf-8"?>
<sst xmlns="http://schemas.openxmlformats.org/spreadsheetml/2006/main" count="2679" uniqueCount="630">
  <si>
    <t>Txn ID</t>
  </si>
  <si>
    <t>Date</t>
  </si>
  <si>
    <t>Month</t>
  </si>
  <si>
    <t>Category</t>
  </si>
  <si>
    <t>Sub-Category</t>
  </si>
  <si>
    <t>Description</t>
  </si>
  <si>
    <t>Payment Mode</t>
  </si>
  <si>
    <t>Expense Type</t>
  </si>
  <si>
    <t>Amount (₹)</t>
  </si>
  <si>
    <t>TX0001</t>
  </si>
  <si>
    <t>Rent</t>
  </si>
  <si>
    <t>House Rent</t>
  </si>
  <si>
    <t>Monthly house rent</t>
  </si>
  <si>
    <t>Net Banking</t>
  </si>
  <si>
    <t>Need</t>
  </si>
  <si>
    <t>TX0002</t>
  </si>
  <si>
    <t>Shopping</t>
  </si>
  <si>
    <t>Clothing</t>
  </si>
  <si>
    <t>Shirt &amp; jeans</t>
  </si>
  <si>
    <t>UPI</t>
  </si>
  <si>
    <t>Want</t>
  </si>
  <si>
    <t>TX0003</t>
  </si>
  <si>
    <t>Travel</t>
  </si>
  <si>
    <t>Bus/Train</t>
  </si>
  <si>
    <t>Bus ticket</t>
  </si>
  <si>
    <t>TX0004</t>
  </si>
  <si>
    <t>Food &amp; Dining</t>
  </si>
  <si>
    <t>Snacks &amp; Cafe</t>
  </si>
  <si>
    <t>Juice bar</t>
  </si>
  <si>
    <t>TX0005</t>
  </si>
  <si>
    <t>Health</t>
  </si>
  <si>
    <t>Insurance</t>
  </si>
  <si>
    <t>Term plan premium</t>
  </si>
  <si>
    <t>TX0006</t>
  </si>
  <si>
    <t>Maintenance</t>
  </si>
  <si>
    <t>Society maintenance</t>
  </si>
  <si>
    <t>Credit Card</t>
  </si>
  <si>
    <t>TX0007</t>
  </si>
  <si>
    <t>Groceries</t>
  </si>
  <si>
    <t>BigBasket order</t>
  </si>
  <si>
    <t>TX0008</t>
  </si>
  <si>
    <t>Metro card recharge</t>
  </si>
  <si>
    <t>Cash</t>
  </si>
  <si>
    <t>TX0009</t>
  </si>
  <si>
    <t>Home Needs</t>
  </si>
  <si>
    <t>Home decor</t>
  </si>
  <si>
    <t>TX0010</t>
  </si>
  <si>
    <t>Utilities</t>
  </si>
  <si>
    <t>Water &amp; Gas</t>
  </si>
  <si>
    <t>Gas cylinder</t>
  </si>
  <si>
    <t>TX0011</t>
  </si>
  <si>
    <t>Education</t>
  </si>
  <si>
    <t>Books</t>
  </si>
  <si>
    <t>Reference book</t>
  </si>
  <si>
    <t>TX0012</t>
  </si>
  <si>
    <t>Reliance Fresh</t>
  </si>
  <si>
    <t>TX0013</t>
  </si>
  <si>
    <t>Water can &amp; bill</t>
  </si>
  <si>
    <t>Debit Card</t>
  </si>
  <si>
    <t>TX0014</t>
  </si>
  <si>
    <t>Vegetable market</t>
  </si>
  <si>
    <t>TX0015</t>
  </si>
  <si>
    <t>Tea &amp; snacks</t>
  </si>
  <si>
    <t>TX0016</t>
  </si>
  <si>
    <t>Accessories</t>
  </si>
  <si>
    <t>Sunglasses</t>
  </si>
  <si>
    <t>TX0017</t>
  </si>
  <si>
    <t>Online Delivery</t>
  </si>
  <si>
    <t>Pizza delivery</t>
  </si>
  <si>
    <t>TX0018</t>
  </si>
  <si>
    <t>Trips</t>
  </si>
  <si>
    <t>Family visit travel</t>
  </si>
  <si>
    <t>TX0019</t>
  </si>
  <si>
    <t>Fuel</t>
  </si>
  <si>
    <t>Petrol - bike</t>
  </si>
  <si>
    <t>TX0020</t>
  </si>
  <si>
    <t>Entertainment</t>
  </si>
  <si>
    <t>Events &amp; Outings</t>
  </si>
  <si>
    <t>Bowling night</t>
  </si>
  <si>
    <t>TX0021</t>
  </si>
  <si>
    <t>Restaurants</t>
  </si>
  <si>
    <t>Biryani house</t>
  </si>
  <si>
    <t>TX0022</t>
  </si>
  <si>
    <t>Family dinner</t>
  </si>
  <si>
    <t>TX0023</t>
  </si>
  <si>
    <t>TX0024</t>
  </si>
  <si>
    <t>TX0025</t>
  </si>
  <si>
    <t>Repairs</t>
  </si>
  <si>
    <t>Plumbing repair</t>
  </si>
  <si>
    <t>TX0026</t>
  </si>
  <si>
    <t>TX0027</t>
  </si>
  <si>
    <t>Coffee shop</t>
  </si>
  <si>
    <t>TX0028</t>
  </si>
  <si>
    <t>South Indian meals</t>
  </si>
  <si>
    <t>TX0029</t>
  </si>
  <si>
    <t>TX0030</t>
  </si>
  <si>
    <t>TX0031</t>
  </si>
  <si>
    <t>OTT Subscriptions</t>
  </si>
  <si>
    <t>Amazon Prime</t>
  </si>
  <si>
    <t>TX0032</t>
  </si>
  <si>
    <t>Lunch with friends</t>
  </si>
  <si>
    <t>TX0033</t>
  </si>
  <si>
    <t>TX0034</t>
  </si>
  <si>
    <t>Movies</t>
  </si>
  <si>
    <t>Movie tickets</t>
  </si>
  <si>
    <t>TX0035</t>
  </si>
  <si>
    <t>Doctor Visits</t>
  </si>
  <si>
    <t>Eye check-up</t>
  </si>
  <si>
    <t>TX0036</t>
  </si>
  <si>
    <t>TX0037</t>
  </si>
  <si>
    <t>Fuel refill</t>
  </si>
  <si>
    <t>TX0038</t>
  </si>
  <si>
    <t>TX0039</t>
  </si>
  <si>
    <t>Netflix</t>
  </si>
  <si>
    <t>TX0040</t>
  </si>
  <si>
    <t>TX0041</t>
  </si>
  <si>
    <t>Medicines</t>
  </si>
  <si>
    <t>Vitamins</t>
  </si>
  <si>
    <t>TX0042</t>
  </si>
  <si>
    <t>Appliance repair</t>
  </si>
  <si>
    <t>TX0043</t>
  </si>
  <si>
    <t>TX0044</t>
  </si>
  <si>
    <t>Cab/Auto</t>
  </si>
  <si>
    <t>Rapido ride</t>
  </si>
  <si>
    <t>TX0045</t>
  </si>
  <si>
    <t>TX0046</t>
  </si>
  <si>
    <t>TX0047</t>
  </si>
  <si>
    <t>Gym &amp; Fitness</t>
  </si>
  <si>
    <t>Fitness supplements</t>
  </si>
  <si>
    <t>TX0048</t>
  </si>
  <si>
    <t>Electricity</t>
  </si>
  <si>
    <t>Electricity bill</t>
  </si>
  <si>
    <t>TX0049</t>
  </si>
  <si>
    <t>Exam Fees</t>
  </si>
  <si>
    <t>Exam registration</t>
  </si>
  <si>
    <t>TX0050</t>
  </si>
  <si>
    <t>Health insurance premium</t>
  </si>
  <si>
    <t>TX0051</t>
  </si>
  <si>
    <t>Electronics</t>
  </si>
  <si>
    <t>Power bank</t>
  </si>
  <si>
    <t>TX0052</t>
  </si>
  <si>
    <t>TX0053</t>
  </si>
  <si>
    <t>Zomato order</t>
  </si>
  <si>
    <t>TX0054</t>
  </si>
  <si>
    <t>Furnishing</t>
  </si>
  <si>
    <t>Mattress cover</t>
  </si>
  <si>
    <t>TX0055</t>
  </si>
  <si>
    <t>TX0056</t>
  </si>
  <si>
    <t>Gym membership</t>
  </si>
  <si>
    <t>TX0057</t>
  </si>
  <si>
    <t>TX0058</t>
  </si>
  <si>
    <t>Local supermarket</t>
  </si>
  <si>
    <t>TX0059</t>
  </si>
  <si>
    <t>IMAX show</t>
  </si>
  <si>
    <t>TX0060</t>
  </si>
  <si>
    <t>TX0061</t>
  </si>
  <si>
    <t>TX0062</t>
  </si>
  <si>
    <t>Watch</t>
  </si>
  <si>
    <t>TX0063</t>
  </si>
  <si>
    <t>TX0064</t>
  </si>
  <si>
    <t>Train ticket</t>
  </si>
  <si>
    <t>TX0065</t>
  </si>
  <si>
    <t>Petrol - car</t>
  </si>
  <si>
    <t>TX0066</t>
  </si>
  <si>
    <t>TX0067</t>
  </si>
  <si>
    <t>Cleaning service</t>
  </si>
  <si>
    <t>TX0068</t>
  </si>
  <si>
    <t>TX0069</t>
  </si>
  <si>
    <t>TX0070</t>
  </si>
  <si>
    <t>Festival wear</t>
  </si>
  <si>
    <t>TX0071</t>
  </si>
  <si>
    <t>TX0072</t>
  </si>
  <si>
    <t>TX0073</t>
  </si>
  <si>
    <t>TX0074</t>
  </si>
  <si>
    <t>Internet</t>
  </si>
  <si>
    <t>Wi-Fi renewal</t>
  </si>
  <si>
    <t>TX0075</t>
  </si>
  <si>
    <t>TX0076</t>
  </si>
  <si>
    <t>Flight ticket</t>
  </si>
  <si>
    <t>TX0077</t>
  </si>
  <si>
    <t>Course Fees</t>
  </si>
  <si>
    <t>Online course</t>
  </si>
  <si>
    <t>TX0078</t>
  </si>
  <si>
    <t>Kitchen items</t>
  </si>
  <si>
    <t>TX0079</t>
  </si>
  <si>
    <t>TX0080</t>
  </si>
  <si>
    <t>TX0081</t>
  </si>
  <si>
    <t>TX0082</t>
  </si>
  <si>
    <t>TX0083</t>
  </si>
  <si>
    <t>TX0084</t>
  </si>
  <si>
    <t>Disney+ Hotstar</t>
  </si>
  <si>
    <t>TX0085</t>
  </si>
  <si>
    <t>Swiggy order</t>
  </si>
  <si>
    <t>TX0086</t>
  </si>
  <si>
    <t>TX0087</t>
  </si>
  <si>
    <t>Stationery</t>
  </si>
  <si>
    <t>TX0088</t>
  </si>
  <si>
    <t>Weekend trip</t>
  </si>
  <si>
    <t>TX0089</t>
  </si>
  <si>
    <t>TX0090</t>
  </si>
  <si>
    <t>TX0091</t>
  </si>
  <si>
    <t>TX0092</t>
  </si>
  <si>
    <t>TX0093</t>
  </si>
  <si>
    <t>Cleaning supplies</t>
  </si>
  <si>
    <t>TX0094</t>
  </si>
  <si>
    <t>Online Subscriptions</t>
  </si>
  <si>
    <t>Coursera plan</t>
  </si>
  <si>
    <t>TX0095</t>
  </si>
  <si>
    <t>Late-night delivery</t>
  </si>
  <si>
    <t>TX0096</t>
  </si>
  <si>
    <t>TX0097</t>
  </si>
  <si>
    <t>Dental check-up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</si>
  <si>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</si>
  <si>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</si>
  <si>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</si>
  <si>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</si>
  <si>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</si>
  <si>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</si>
  <si>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</si>
  <si>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</si>
  <si>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</si>
  <si>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</si>
  <si>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</si>
  <si>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Gaming</t>
  </si>
  <si>
    <t>Game top-up</t>
  </si>
  <si>
    <t>TX0109</t>
  </si>
  <si>
    <t>TX0110</t>
  </si>
  <si>
    <t>TNEB electricity bill</t>
  </si>
  <si>
    <t>TX0111</t>
  </si>
  <si>
    <t>TX0112</t>
  </si>
  <si>
    <t>TX0113</t>
  </si>
  <si>
    <t>TX0114</t>
  </si>
  <si>
    <t>Certification course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</si>
  <si>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</si>
  <si>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</si>
  <si>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</si>
  <si>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</si>
  <si>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</si>
  <si>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</si>
  <si>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</si>
  <si>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</si>
  <si>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Bakery</t>
  </si>
  <si>
    <t>TX0123</t>
  </si>
  <si>
    <t>TX0124</t>
  </si>
  <si>
    <t>TX0125</t>
  </si>
  <si>
    <t>TX0126</t>
  </si>
  <si>
    <t>TX0127</t>
  </si>
  <si>
    <t>TX0128</t>
  </si>
  <si>
    <t>TX0129</t>
  </si>
  <si>
    <t>Mobile Recharge</t>
  </si>
  <si>
    <t>Jio recharge</t>
  </si>
  <si>
    <t>TX0130</t>
  </si>
  <si>
    <t>TX0131</t>
  </si>
  <si>
    <t>TX0132</t>
  </si>
  <si>
    <t>Phone accessory</t>
  </si>
  <si>
    <t>TX0133</t>
  </si>
  <si>
    <t>TX0134</t>
  </si>
  <si>
    <t>TX0135</t>
  </si>
  <si>
    <t>Ola ride</t>
  </si>
  <si>
    <t>TX0136</t>
  </si>
  <si>
    <t>Hotel stay</t>
  </si>
  <si>
    <t>TX0137</t>
  </si>
  <si>
    <t>TX0138</t>
  </si>
  <si>
    <t>TX0139</t>
  </si>
  <si>
    <t>TX0140</t>
  </si>
  <si>
    <t>TX0141</t>
  </si>
  <si>
    <t>TX0142</t>
  </si>
  <si>
    <t>Electrical repair</t>
  </si>
  <si>
    <t>TX0143</t>
  </si>
  <si>
    <t>TX0144</t>
  </si>
  <si>
    <t>TX0145</t>
  </si>
  <si>
    <t>TX0146</t>
  </si>
  <si>
    <t>Auto fare</t>
  </si>
  <si>
    <t>TX0147</t>
  </si>
  <si>
    <t>TX0148</t>
  </si>
  <si>
    <t>Coding platform</t>
  </si>
  <si>
    <t>TX0149</t>
  </si>
  <si>
    <t>TX0150</t>
  </si>
  <si>
    <t>TX0151</t>
  </si>
  <si>
    <t>Airtel recharge</t>
  </si>
  <si>
    <t>TX0152</t>
  </si>
  <si>
    <t>Storage rack</t>
  </si>
  <si>
    <t>TX0153</t>
  </si>
  <si>
    <t>TX0154</t>
  </si>
  <si>
    <t>TX0155</t>
  </si>
  <si>
    <t>Yoga class</t>
  </si>
  <si>
    <t>TX0156</t>
  </si>
  <si>
    <t>TX0157</t>
  </si>
  <si>
    <t>TX0158</t>
  </si>
  <si>
    <t>TX0159</t>
  </si>
  <si>
    <t>TX0160</t>
  </si>
  <si>
    <t>TX0161</t>
  </si>
  <si>
    <t>TX0162</t>
  </si>
  <si>
    <t>Uber ride</t>
  </si>
  <si>
    <t>TX0163</t>
  </si>
  <si>
    <t>Footwear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</si>
  <si>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</si>
  <si>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</si>
  <si>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</si>
  <si>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</si>
  <si>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</si>
  <si>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</si>
  <si>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</si>
  <si>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</si>
  <si>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</si>
  <si>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</si>
  <si>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</si>
  <si>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Clinic consultation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</si>
  <si>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</si>
  <si>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</si>
  <si>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</si>
  <si>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</si>
  <si>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</si>
  <si>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</si>
  <si>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</si>
  <si>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</si>
  <si>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</si>
  <si>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</si>
  <si>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</si>
  <si>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</si>
  <si>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</si>
  <si>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Gaming cafe</t>
  </si>
  <si>
    <t>TX0188</t>
  </si>
  <si>
    <t>TX0189</t>
  </si>
  <si>
    <t>TX0190</t>
  </si>
  <si>
    <t>Wallet &amp; bag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</si>
  <si>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</si>
  <si>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</si>
  <si>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</si>
  <si>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</si>
  <si>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</si>
  <si>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</si>
  <si>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</si>
  <si>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</si>
  <si>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</si>
  <si>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Broadband bill</t>
  </si>
  <si>
    <t>TX0200</t>
  </si>
  <si>
    <t>TX0201</t>
  </si>
  <si>
    <t>Prescription refill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</si>
  <si>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</si>
  <si>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</si>
  <si>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</si>
  <si>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</si>
  <si>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</si>
  <si>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</si>
  <si>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</si>
  <si>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</si>
  <si>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</si>
  <si>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</si>
  <si>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</si>
  <si>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</si>
  <si>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</si>
  <si>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</si>
  <si>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</si>
  <si>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</si>
  <si>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</si>
  <si>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</si>
  <si>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</si>
  <si>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</si>
  <si>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</si>
  <si>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</si>
  <si>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</si>
  <si>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</si>
  <si>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</si>
  <si>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</si>
  <si>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Amusement park</t>
  </si>
  <si>
    <t>TX0228</t>
  </si>
  <si>
    <t>TX0229</t>
  </si>
  <si>
    <t>TX0230</t>
  </si>
  <si>
    <t>TX0231</t>
  </si>
  <si>
    <t>TX0232</t>
  </si>
  <si>
    <t>Pharmacy purchase</t>
  </si>
  <si>
    <t>TX0233</t>
  </si>
  <si>
    <t>TX0234</t>
  </si>
  <si>
    <t>TX0235</t>
  </si>
  <si>
    <t>TX0236</t>
  </si>
  <si>
    <t>TX0237</t>
  </si>
  <si>
    <t>TX0238</t>
  </si>
  <si>
    <t>TX0239</t>
  </si>
  <si>
    <t>Multiplex combo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</si>
  <si>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</si>
  <si>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</si>
  <si>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</si>
  <si>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</si>
  <si>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</si>
  <si>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</si>
  <si>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</si>
  <si>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</si>
  <si>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</si>
  <si>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</si>
  <si>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</si>
  <si>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</si>
  <si>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</si>
  <si>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</si>
  <si>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</si>
  <si>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</si>
  <si>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</si>
  <si>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</si>
  <si>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</si>
  <si>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</si>
  <si>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</si>
  <si>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</si>
  <si>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</si>
  <si>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</si>
  <si>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</si>
  <si>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</si>
  <si>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</si>
  <si>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</si>
  <si>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</si>
  <si>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</si>
  <si>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</si>
  <si>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</si>
  <si>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</si>
  <si>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</si>
  <si>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</si>
  <si>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</si>
  <si>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</si>
  <si>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</si>
  <si>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</si>
  <si>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</si>
  <si>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</si>
  <si>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</si>
  <si>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</si>
  <si>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</si>
  <si>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</si>
  <si>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</si>
  <si>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</si>
  <si>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</si>
  <si>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</si>
  <si>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</si>
  <si>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Spotify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</si>
  <si>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</si>
  <si>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</si>
  <si>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</si>
  <si>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</si>
  <si>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</si>
  <si>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</si>
  <si>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</si>
  <si>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</si>
  <si>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</si>
  <si>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</si>
  <si>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</si>
  <si>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</si>
  <si>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</si>
  <si>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</si>
  <si>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</si>
  <si>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</si>
  <si>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</si>
  <si>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</si>
  <si>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</si>
  <si>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</si>
  <si>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Mock test series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</si>
  <si>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</si>
  <si>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</si>
  <si>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</si>
  <si>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</si>
  <si>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</si>
  <si>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</si>
  <si>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</si>
  <si>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</si>
  <si>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Textbooks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</si>
  <si>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</si>
  <si>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</si>
  <si>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</si>
  <si>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</si>
  <si>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</si>
  <si>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</si>
  <si>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</si>
  <si>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</si>
  <si>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LinkedIn Learning</t>
  </si>
  <si>
    <t>TX0326</t>
  </si>
  <si>
    <t>TX0327</t>
  </si>
  <si>
    <t>TX0328</t>
  </si>
  <si>
    <t>TX0329</t>
  </si>
  <si>
    <t>Steam purchase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</si>
  <si>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</si>
  <si>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</si>
  <si>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</si>
  <si>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</si>
  <si>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</si>
  <si>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</si>
  <si>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</si>
  <si>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</si>
  <si>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</si>
  <si>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</si>
  <si>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</si>
  <si>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</si>
  <si>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</si>
  <si>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</si>
  <si>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</si>
  <si>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</si>
  <si>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</si>
  <si>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</si>
  <si>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</si>
  <si>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</si>
  <si>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</si>
  <si>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</si>
  <si>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</si>
  <si>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</si>
  <si>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</si>
  <si>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Earphones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</si>
  <si>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</si>
  <si>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</si>
  <si>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</si>
  <si>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</si>
  <si>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</si>
  <si>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</si>
  <si>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</si>
  <si>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</si>
  <si>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</si>
  <si>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</si>
  <si>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</si>
  <si>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</si>
  <si>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</si>
  <si>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</si>
  <si>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</si>
  <si>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</si>
  <si>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</si>
  <si>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</si>
  <si>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</si>
  <si>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</si>
  <si>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</si>
  <si>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</si>
  <si>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</si>
  <si>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</si>
  <si>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Concert ticket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</si>
  <si>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</si>
  <si>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</si>
  <si>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</si>
  <si>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</si>
  <si>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</si>
  <si>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</si>
  <si>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</si>
  <si>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</si>
  <si>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</si>
  <si>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</si>
  <si>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</si>
  <si>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</si>
  <si>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</si>
  <si>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</si>
  <si>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</si>
  <si>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</si>
  <si>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</si>
  <si>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</si>
  <si>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</si>
  <si>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</si>
  <si>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</si>
  <si>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</si>
  <si>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</si>
  <si>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</si>
  <si>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</si>
  <si>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</si>
  <si>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</si>
  <si>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</si>
  <si>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</si>
  <si>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</si>
  <si>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</si>
  <si>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</si>
  <si>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</si>
  <si>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</si>
  <si>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</si>
  <si>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</si>
  <si>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</si>
  <si>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</si>
  <si>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Curtains &amp; mats</t>
  </si>
  <si>
    <t>TX0417</t>
  </si>
  <si>
    <t>TX0418</t>
  </si>
  <si>
    <t>TX0419</t>
  </si>
  <si>
    <t>TX0420</t>
  </si>
  <si>
    <t>INPUTS / ASSUMPTIONS</t>
  </si>
  <si>
    <t>Monthly Income (₹)</t>
  </si>
  <si>
    <t>Months in Period</t>
  </si>
  <si>
    <t>Monthly Budget (₹)</t>
  </si>
  <si>
    <t>KEY PERFORMANCE INDICATORS</t>
  </si>
  <si>
    <t>Value</t>
  </si>
  <si>
    <t>Total Expenses</t>
  </si>
  <si>
    <t>Total Transactions</t>
  </si>
  <si>
    <t>Average Transaction Value</t>
  </si>
  <si>
    <t>Largest Single Expense</t>
  </si>
  <si>
    <t>Average Monthly Spend</t>
  </si>
  <si>
    <t>Total Income (period)</t>
  </si>
  <si>
    <t>Net Savings</t>
  </si>
  <si>
    <t>Savings Rate</t>
  </si>
  <si>
    <t>Budget Utilisation</t>
  </si>
  <si>
    <t>Top Spending Category</t>
  </si>
  <si>
    <t>Top Category Spend</t>
  </si>
  <si>
    <t>Top Category Share</t>
  </si>
  <si>
    <t>Needs Spend</t>
  </si>
  <si>
    <t>Wants Spend</t>
  </si>
  <si>
    <t>Needs % of Spend</t>
  </si>
  <si>
    <t>Wants % of Spend</t>
  </si>
  <si>
    <t>Digital Payment Share</t>
  </si>
  <si>
    <t>Row Labels</t>
  </si>
  <si>
    <t>Grand Total</t>
  </si>
  <si>
    <t>Sum of Amount (₹)</t>
  </si>
  <si>
    <t>Count of Amount (₹)2</t>
  </si>
  <si>
    <t>Average of Amount (₹)2</t>
  </si>
  <si>
    <t xml:space="preserve">GRAND TOTAL PERCENTAGE </t>
  </si>
  <si>
    <t>PIVOT 1 — Category › Sub-Category summary (Sum, Count, Average, % of total)</t>
  </si>
  <si>
    <t>PIVOT 2 — Month × Payment Mode (Sum of Amount)</t>
  </si>
  <si>
    <t>Column Labels</t>
  </si>
  <si>
    <t>PIVOT 3 — Category × Month (Sum of Amount)</t>
  </si>
  <si>
    <t xml:space="preserve">         UPI</t>
  </si>
  <si>
    <t xml:space="preserve">  Debit Card</t>
  </si>
  <si>
    <t>Dashboard</t>
  </si>
  <si>
    <t>PERIOD</t>
  </si>
  <si>
    <t>CATEGORIES</t>
  </si>
  <si>
    <t>PAYMENT MODES</t>
  </si>
  <si>
    <t>NEEDS vs WANTS</t>
  </si>
  <si>
    <t>Needs</t>
  </si>
  <si>
    <t>Wants</t>
  </si>
  <si>
    <t>Needs %</t>
  </si>
  <si>
    <t>Wants %</t>
  </si>
  <si>
    <t>CASH FLOW</t>
  </si>
  <si>
    <t>Income</t>
  </si>
  <si>
    <t>Expenses</t>
  </si>
  <si>
    <t>BUDGET</t>
  </si>
  <si>
    <t>Monthly Budget</t>
  </si>
  <si>
    <t>Avg Monthly Spend</t>
  </si>
  <si>
    <t>Utilisation</t>
  </si>
  <si>
    <t>CATEGORY AND AMOUNT (SUMMARY)</t>
  </si>
  <si>
    <t>DATE WISE  TOTAL SPEND</t>
  </si>
  <si>
    <t xml:space="preserve">PIVOT 4  Needs and Wants </t>
  </si>
  <si>
    <t>Needs Vs Wants</t>
  </si>
  <si>
    <t>PIVOT 5               SUMMARY</t>
  </si>
  <si>
    <t>(blank)</t>
  </si>
  <si>
    <t>Total Spend</t>
  </si>
  <si>
    <t>Transactions</t>
  </si>
  <si>
    <t>Average Transactions</t>
  </si>
  <si>
    <r>
      <rPr>
        <b/>
        <sz val="34"/>
        <color theme="0"/>
        <rFont val="Times New Roman"/>
        <family val="1"/>
      </rPr>
      <t>EXPENSE CATEGORIZATION SYSTEM</t>
    </r>
    <r>
      <rPr>
        <sz val="3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</si>
</sst>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yy"/>
    <numFmt numFmtId="165" formatCode="mmm\-yy"/>
    <numFmt numFmtId="166" formatCode="\₹#,##0"/>
    <numFmt numFmtId="167" formatCode="\₹#,##0;[Red]&quot;-₹&quot;#,##0"/>
    <numFmt numFmtId="168" formatCode="0.0%"/>
    <numFmt numFmtId="169" formatCode="mmm\ yyyy"/>
    <numFmt numFmtId="170" formatCode="\₹#,##0;&quot;-₹&quot;#,##0"/>
    <numFmt numFmtId="171" formatCode="&quot;₹&quot;\ #,##0.00"/>
  </numFmts>
  <fonts count="2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B2A4A"/>
      <name val="Arial"/>
      <family val="2"/>
    </font>
    <font>
      <b/>
      <sz val="11"/>
      <color rgb="FFC0132B"/>
      <name val="Arial"/>
      <family val="2"/>
    </font>
    <font>
      <sz val="11"/>
      <color rgb="FF00B0F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2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rgb="FF1F2D3D"/>
      <name val="Arial"/>
      <family val="2"/>
    </font>
    <font>
      <b/>
      <sz val="11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34"/>
      <color theme="1"/>
      <name val="Calibri"/>
      <family val="2"/>
      <scheme val="minor"/>
    </font>
    <font>
      <b/>
      <sz val="34"/>
      <color theme="0"/>
      <name val="Times New Roman"/>
      <family val="1"/>
    </font>
    <font>
      <sz val="34"/>
      <color theme="1"/>
      <name val="Calibri"/>
      <family val="1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B2A4A"/>
        <bgColor rgb="FF1F2D3D"/>
      </patternFill>
    </fill>
    <fill>
      <patternFill patternType="solid">
        <fgColor rgb="FFF5F8FB"/>
        <bgColor rgb="FFF1F4F8"/>
      </patternFill>
    </fill>
    <fill>
      <patternFill patternType="solid">
        <fgColor rgb="FFC0132B"/>
        <bgColor rgb="FF7F0E1C"/>
      </patternFill>
    </fill>
    <fill>
      <patternFill patternType="solid">
        <fgColor rgb="FFFFFF00"/>
        <b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1F4F8"/>
        <bgColor indexed="64"/>
      </patternFill>
    </fill>
    <fill>
      <patternFill patternType="solid">
        <fgColor rgb="FF002060"/>
        <bgColor rgb="FF1F2D3D"/>
      </patternFill>
    </fill>
    <fill>
      <patternFill patternType="solid">
        <fgColor rgb="FFF1F4F8"/>
        <bgColor rgb="FFF5F8FB"/>
      </patternFill>
    </fill>
    <fill>
      <patternFill patternType="solid">
        <fgColor rgb="FFF1F4F8"/>
        <bgColor rgb="FF1F2D3D"/>
      </patternFill>
    </fill>
    <fill>
      <patternFill patternType="solid">
        <fgColor rgb="FFF1F4F8"/>
        <bgColor rgb="FF7F0E1C"/>
      </patternFill>
    </fill>
  </fills>
  <borders count="4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5B7FA6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166" fontId="4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66" fontId="4" fillId="0" borderId="1" xfId="0" applyNumberFormat="1" applyFont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/>
    <xf numFmtId="166" fontId="6" fillId="5" borderId="1" xfId="0" applyNumberFormat="1" applyFont="1" applyFill="1" applyBorder="1"/>
    <xf numFmtId="1" fontId="5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0" fontId="7" fillId="3" borderId="1" xfId="0" applyFont="1" applyFill="1" applyBorder="1"/>
    <xf numFmtId="166" fontId="5" fillId="3" borderId="1" xfId="0" applyNumberFormat="1" applyFont="1" applyFill="1" applyBorder="1" applyAlignment="1">
      <alignment horizontal="right"/>
    </xf>
    <xf numFmtId="0" fontId="7" fillId="0" borderId="1" xfId="0" applyFont="1" applyBorder="1"/>
    <xf numFmtId="3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7" fontId="5" fillId="3" borderId="1" xfId="0" applyNumberFormat="1" applyFont="1" applyFill="1" applyBorder="1" applyAlignment="1">
      <alignment horizontal="right"/>
    </xf>
    <xf numFmtId="168" fontId="5" fillId="0" borderId="1" xfId="0" applyNumberFormat="1" applyFont="1" applyBorder="1" applyAlignment="1">
      <alignment horizontal="right"/>
    </xf>
    <xf numFmtId="168" fontId="5" fillId="3" borderId="1" xfId="0" applyNumberFormat="1" applyFont="1" applyFill="1" applyBorder="1" applyAlignment="1">
      <alignment horizontal="right"/>
    </xf>
    <xf numFmtId="49" fontId="5" fillId="0" borderId="1" xfId="0" applyNumberFormat="1" applyFont="1" applyBorder="1" applyAlignment="1">
      <alignment horizontal="right"/>
    </xf>
    <xf numFmtId="169" fontId="5" fillId="3" borderId="1" xfId="0" applyNumberFormat="1" applyFont="1" applyFill="1" applyBorder="1" applyAlignment="1">
      <alignment horizontal="right"/>
    </xf>
    <xf numFmtId="49" fontId="5" fillId="3" borderId="1" xfId="0" applyNumberFormat="1" applyFont="1" applyFill="1" applyBorder="1" applyAlignment="1">
      <alignment horizontal="right"/>
    </xf>
    <xf numFmtId="166" fontId="0" fillId="0" borderId="0" xfId="0" applyNumberFormat="1"/>
    <xf numFmtId="0" fontId="8" fillId="8" borderId="0" xfId="0" applyFont="1" applyFill="1"/>
    <xf numFmtId="0" fontId="0" fillId="8" borderId="0" xfId="0" applyFill="1"/>
    <xf numFmtId="0" fontId="8" fillId="0" borderId="0" xfId="0" applyFont="1"/>
    <xf numFmtId="0" fontId="1" fillId="6" borderId="2" xfId="0" applyFont="1" applyFill="1" applyBorder="1"/>
    <xf numFmtId="0" fontId="1" fillId="7" borderId="2" xfId="0" applyFont="1" applyFill="1" applyBorder="1" applyAlignment="1">
      <alignment horizontal="left"/>
    </xf>
    <xf numFmtId="166" fontId="9" fillId="0" borderId="2" xfId="0" applyNumberFormat="1" applyFont="1" applyBorder="1"/>
    <xf numFmtId="10" fontId="9" fillId="0" borderId="2" xfId="0" applyNumberFormat="1" applyFont="1" applyBorder="1"/>
    <xf numFmtId="0" fontId="0" fillId="0" borderId="2" xfId="0" applyBorder="1" applyAlignment="1">
      <alignment horizontal="left" indent="1"/>
    </xf>
    <xf numFmtId="166" fontId="0" fillId="0" borderId="2" xfId="0" applyNumberFormat="1" applyBorder="1"/>
    <xf numFmtId="10" fontId="0" fillId="0" borderId="2" xfId="0" applyNumberFormat="1" applyBorder="1"/>
    <xf numFmtId="0" fontId="1" fillId="11" borderId="2" xfId="0" applyFont="1" applyFill="1" applyBorder="1" applyAlignment="1">
      <alignment horizontal="left"/>
    </xf>
    <xf numFmtId="166" fontId="1" fillId="11" borderId="2" xfId="0" applyNumberFormat="1" applyFont="1" applyFill="1" applyBorder="1"/>
    <xf numFmtId="10" fontId="1" fillId="11" borderId="2" xfId="0" applyNumberFormat="1" applyFont="1" applyFill="1" applyBorder="1"/>
    <xf numFmtId="0" fontId="1" fillId="10" borderId="2" xfId="0" applyFont="1" applyFill="1" applyBorder="1"/>
    <xf numFmtId="14" fontId="0" fillId="0" borderId="2" xfId="0" applyNumberFormat="1" applyBorder="1" applyAlignment="1">
      <alignment horizontal="left"/>
    </xf>
    <xf numFmtId="166" fontId="1" fillId="0" borderId="2" xfId="0" applyNumberFormat="1" applyFont="1" applyBorder="1"/>
    <xf numFmtId="14" fontId="1" fillId="6" borderId="2" xfId="0" applyNumberFormat="1" applyFont="1" applyFill="1" applyBorder="1"/>
    <xf numFmtId="0" fontId="0" fillId="0" borderId="2" xfId="0" applyBorder="1" applyAlignment="1">
      <alignment horizontal="left"/>
    </xf>
    <xf numFmtId="0" fontId="0" fillId="9" borderId="2" xfId="0" applyFill="1" applyBorder="1" applyAlignment="1">
      <alignment horizontal="left"/>
    </xf>
    <xf numFmtId="166" fontId="0" fillId="9" borderId="2" xfId="0" applyNumberFormat="1" applyFill="1" applyBorder="1"/>
    <xf numFmtId="0" fontId="0" fillId="2" borderId="0" xfId="0" applyFill="1"/>
    <xf numFmtId="0" fontId="14" fillId="2" borderId="3" xfId="0" applyFont="1" applyFill="1" applyBorder="1" applyAlignment="1">
      <alignment horizontal="left" indent="1"/>
    </xf>
    <xf numFmtId="166" fontId="15" fillId="2" borderId="3" xfId="0" applyNumberFormat="1" applyFont="1" applyFill="1" applyBorder="1" applyAlignment="1">
      <alignment horizontal="right"/>
    </xf>
    <xf numFmtId="168" fontId="15" fillId="2" borderId="3" xfId="0" applyNumberFormat="1" applyFont="1" applyFill="1" applyBorder="1" applyAlignment="1">
      <alignment horizontal="right"/>
    </xf>
    <xf numFmtId="170" fontId="15" fillId="2" borderId="3" xfId="0" applyNumberFormat="1" applyFont="1" applyFill="1" applyBorder="1" applyAlignment="1">
      <alignment horizontal="right"/>
    </xf>
    <xf numFmtId="0" fontId="10" fillId="6" borderId="2" xfId="0" applyFont="1" applyFill="1" applyBorder="1"/>
    <xf numFmtId="0" fontId="10" fillId="7" borderId="2" xfId="0" applyFont="1" applyFill="1" applyBorder="1" applyAlignment="1">
      <alignment horizontal="left"/>
    </xf>
    <xf numFmtId="166" fontId="11" fillId="0" borderId="2" xfId="0" applyNumberFormat="1" applyFont="1" applyBorder="1"/>
    <xf numFmtId="0" fontId="10" fillId="10" borderId="2" xfId="0" applyFont="1" applyFill="1" applyBorder="1"/>
    <xf numFmtId="0" fontId="16" fillId="8" borderId="0" xfId="0" applyFont="1" applyFill="1"/>
    <xf numFmtId="0" fontId="0" fillId="8" borderId="2" xfId="0" applyFill="1" applyBorder="1" applyAlignment="1">
      <alignment horizontal="left"/>
    </xf>
    <xf numFmtId="166" fontId="0" fillId="8" borderId="2" xfId="0" applyNumberFormat="1" applyFill="1" applyBorder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20" fillId="8" borderId="0" xfId="0" applyFont="1" applyFill="1"/>
    <xf numFmtId="0" fontId="0" fillId="0" borderId="0" xfId="0" applyAlignment="1">
      <alignment horizontal="left"/>
    </xf>
    <xf numFmtId="0" fontId="1" fillId="10" borderId="0" xfId="0" applyFont="1" applyFill="1"/>
    <xf numFmtId="0" fontId="1" fillId="11" borderId="0" xfId="0" applyFont="1" applyFill="1" applyAlignment="1">
      <alignment horizontal="left"/>
    </xf>
    <xf numFmtId="166" fontId="1" fillId="11" borderId="0" xfId="0" applyNumberFormat="1" applyFont="1" applyFill="1"/>
    <xf numFmtId="0" fontId="1" fillId="11" borderId="0" xfId="0" applyFont="1" applyFill="1"/>
    <xf numFmtId="0" fontId="9" fillId="0" borderId="2" xfId="0" applyFont="1" applyBorder="1"/>
    <xf numFmtId="0" fontId="0" fillId="0" borderId="2" xfId="0" applyBorder="1"/>
    <xf numFmtId="0" fontId="1" fillId="11" borderId="2" xfId="0" applyFont="1" applyFill="1" applyBorder="1"/>
    <xf numFmtId="0" fontId="2" fillId="16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0" fontId="25" fillId="12" borderId="0" xfId="0" applyFont="1" applyFill="1"/>
    <xf numFmtId="0" fontId="25" fillId="10" borderId="0" xfId="0" applyFont="1" applyFill="1" applyAlignment="1">
      <alignment horizontal="center"/>
    </xf>
    <xf numFmtId="0" fontId="21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22" fillId="12" borderId="0" xfId="0" applyFont="1" applyFill="1" applyAlignment="1">
      <alignment horizontal="center"/>
    </xf>
    <xf numFmtId="0" fontId="18" fillId="12" borderId="0" xfId="0" applyFont="1" applyFill="1" applyAlignment="1">
      <alignment horizontal="center"/>
    </xf>
    <xf numFmtId="171" fontId="17" fillId="1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3" fillId="14" borderId="0" xfId="0" applyNumberFormat="1" applyFont="1" applyFill="1" applyAlignment="1">
      <alignment horizontal="center" vertical="center" wrapText="1"/>
    </xf>
    <xf numFmtId="166" fontId="3" fillId="14" borderId="0" xfId="0" applyNumberFormat="1" applyFont="1" applyFill="1" applyAlignment="1">
      <alignment horizontal="center" vertical="center" wrapText="1"/>
    </xf>
    <xf numFmtId="0" fontId="7" fillId="14" borderId="0" xfId="0" applyFont="1" applyFill="1" applyAlignment="1">
      <alignment horizontal="left" vertical="center" indent="1"/>
    </xf>
    <xf numFmtId="166" fontId="3" fillId="14" borderId="0" xfId="0" applyNumberFormat="1" applyFont="1" applyFill="1" applyAlignment="1">
      <alignment horizontal="right" vertical="center" indent="1"/>
    </xf>
    <xf numFmtId="168" fontId="3" fillId="14" borderId="0" xfId="0" applyNumberFormat="1" applyFont="1" applyFill="1" applyAlignment="1">
      <alignment horizontal="center" vertical="center" wrapText="1"/>
    </xf>
    <xf numFmtId="166" fontId="2" fillId="16" borderId="0" xfId="0" applyNumberFormat="1" applyFont="1" applyFill="1" applyAlignment="1">
      <alignment horizontal="center" vertical="center" wrapText="1"/>
    </xf>
    <xf numFmtId="0" fontId="2" fillId="16" borderId="0" xfId="0" applyFont="1" applyFill="1" applyAlignment="1">
      <alignment horizontal="left" vertical="center" indent="1"/>
    </xf>
    <xf numFmtId="166" fontId="2" fillId="16" borderId="0" xfId="0" applyNumberFormat="1" applyFont="1" applyFill="1" applyAlignment="1">
      <alignment horizontal="right" vertical="center" indent="1"/>
    </xf>
    <xf numFmtId="168" fontId="2" fillId="16" borderId="0" xfId="0" applyNumberFormat="1" applyFont="1" applyFill="1" applyAlignment="1">
      <alignment horizontal="center" vertical="center" wrapText="1"/>
    </xf>
    <xf numFmtId="3" fontId="2" fillId="16" borderId="0" xfId="0" applyNumberFormat="1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/>
    </xf>
  </cellXfs>
  <cellStyles count="1">
    <cellStyle name="Normal" xfId="0" builtinId="0"/>
  </cellStyles>
  <dxfs count="10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C00000"/>
      </font>
    </dxf>
    <dxf>
      <font>
        <color theme="0"/>
      </font>
    </dxf>
    <dxf>
      <fill>
        <patternFill>
          <bgColor theme="4" tint="0.39997558519241921"/>
        </patternFill>
      </fill>
    </dxf>
    <dxf>
      <font>
        <color theme="0"/>
      </font>
    </dxf>
    <dxf>
      <fill>
        <patternFill patternType="solid">
          <bgColor theme="4" tint="0.39997558519241921"/>
        </patternFill>
      </fill>
    </dxf>
    <dxf>
      <font>
        <color theme="0"/>
      </font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>
          <bgColor rgb="FFCC0000"/>
        </patternFill>
      </fill>
    </dxf>
    <dxf>
      <fill>
        <patternFill>
          <bgColor rgb="FFCC0000"/>
        </patternFill>
      </fill>
    </dxf>
    <dxf>
      <fill>
        <patternFill patternType="solid">
          <bgColor rgb="FFFF6699"/>
        </patternFill>
      </fill>
    </dxf>
    <dxf>
      <fill>
        <patternFill patternType="solid">
          <bgColor rgb="FFFF669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</dxfs>
  <tableStyles count="0" defaultTableStyle="TableStyleMedium2" defaultPivotStyle="PivotStyleLight16"/>
  <colors>
    <mruColors>
      <color rgb="FFF1F4F8"/>
      <color rgb="FFF2EFFB"/>
      <color rgb="FF3AD2CE"/>
      <color rgb="FFCC000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B2A4A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0B2A4A"/>
                </a:solidFill>
                <a:latin typeface="Arial"/>
              </a:rPr>
              <a:t>Category-wise Spending (Share of 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F84-4238-AC9F-2D98ECDE3839}"/>
              </c:ext>
            </c:extLst>
          </c:dPt>
          <c:dPt>
            <c:idx val="1"/>
            <c:bubble3D val="0"/>
            <c:spPr>
              <a:solidFill>
                <a:srgbClr val="C013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F84-4238-AC9F-2D98ECDE3839}"/>
              </c:ext>
            </c:extLst>
          </c:dPt>
          <c:dPt>
            <c:idx val="2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F84-4238-AC9F-2D98ECDE3839}"/>
              </c:ext>
            </c:extLst>
          </c:dPt>
          <c:dPt>
            <c:idx val="3"/>
            <c:bubble3D val="0"/>
            <c:spPr>
              <a:solidFill>
                <a:srgbClr val="8DB6D6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F84-4238-AC9F-2D98ECDE3839}"/>
              </c:ext>
            </c:extLst>
          </c:dPt>
          <c:dPt>
            <c:idx val="4"/>
            <c:bubble3D val="0"/>
            <c:spPr>
              <a:solidFill>
                <a:srgbClr val="7F0E1C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F84-4238-AC9F-2D98ECDE3839}"/>
              </c:ext>
            </c:extLst>
          </c:dPt>
          <c:dPt>
            <c:idx val="5"/>
            <c:bubble3D val="0"/>
            <c:spPr>
              <a:solidFill>
                <a:srgbClr val="5B7FA6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F84-4238-AC9F-2D98ECDE3839}"/>
              </c:ext>
            </c:extLst>
          </c:dPt>
          <c:dPt>
            <c:idx val="6"/>
            <c:bubble3D val="0"/>
            <c:spPr>
              <a:solidFill>
                <a:srgbClr val="E5737F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3F84-4238-AC9F-2D98ECDE3839}"/>
              </c:ext>
            </c:extLst>
          </c:dPt>
          <c:dPt>
            <c:idx val="7"/>
            <c:bubble3D val="0"/>
            <c:spPr>
              <a:solidFill>
                <a:srgbClr val="C5D9E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3F84-4238-AC9F-2D98ECDE383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84-4238-AC9F-2D98ECDE383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84-4238-AC9F-2D98ECDE383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F84-4238-AC9F-2D98ECDE383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F84-4238-AC9F-2D98ECDE383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F84-4238-AC9F-2D98ECDE383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F84-4238-AC9F-2D98ECDE383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F84-4238-AC9F-2D98ECDE383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F84-4238-AC9F-2D98ECDE38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'[1]KPI Workings'!$K$35:$K$42</c:f>
              <c:strCache>
                <c:ptCount val="8"/>
                <c:pt idx="0">
                  <c:v>Rent</c:v>
                </c:pt>
                <c:pt idx="1">
                  <c:v>Travel</c:v>
                </c:pt>
                <c:pt idx="2">
                  <c:v>Shopping</c:v>
                </c:pt>
                <c:pt idx="3">
                  <c:v>Food &amp; Dining</c:v>
                </c:pt>
                <c:pt idx="4">
                  <c:v>Health</c:v>
                </c:pt>
                <c:pt idx="5">
                  <c:v>Education</c:v>
                </c:pt>
                <c:pt idx="6">
                  <c:v>Utilities</c:v>
                </c:pt>
                <c:pt idx="7">
                  <c:v>Entertainment</c:v>
                </c:pt>
              </c:strCache>
            </c:strRef>
          </c:cat>
          <c:val>
            <c:numRef>
              <c:f>'[1]KPI Workings'!$L$35:$L$42</c:f>
              <c:numCache>
                <c:formatCode>General</c:formatCode>
                <c:ptCount val="8"/>
                <c:pt idx="0">
                  <c:v>133523</c:v>
                </c:pt>
                <c:pt idx="1">
                  <c:v>96509</c:v>
                </c:pt>
                <c:pt idx="2">
                  <c:v>92029</c:v>
                </c:pt>
                <c:pt idx="3">
                  <c:v>70546</c:v>
                </c:pt>
                <c:pt idx="4">
                  <c:v>41729</c:v>
                </c:pt>
                <c:pt idx="5">
                  <c:v>35671</c:v>
                </c:pt>
                <c:pt idx="6">
                  <c:v>35310</c:v>
                </c:pt>
                <c:pt idx="7">
                  <c:v>21781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F84-4238-AC9F-2D98ECDE3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4380622346934011"/>
          <c:y val="0.21308455706575416"/>
          <c:w val="0.24195288980110302"/>
          <c:h val="0.557616364031791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5DBE3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Spending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TABLE'!$J$53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numRef>
              <c:f>'PIVOT TABLE'!$I$54:$I$65</c:f>
              <c:numCache>
                <c:formatCode>m/d/yyyy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'PIVOT TABLE'!$J$54:$J$65</c:f>
              <c:numCache>
                <c:formatCode>\₹#,##0</c:formatCode>
                <c:ptCount val="12"/>
                <c:pt idx="0">
                  <c:v>38672</c:v>
                </c:pt>
                <c:pt idx="1">
                  <c:v>36673</c:v>
                </c:pt>
                <c:pt idx="2">
                  <c:v>47898</c:v>
                </c:pt>
                <c:pt idx="3">
                  <c:v>38120</c:v>
                </c:pt>
                <c:pt idx="4">
                  <c:v>36281</c:v>
                </c:pt>
                <c:pt idx="5">
                  <c:v>39817</c:v>
                </c:pt>
                <c:pt idx="6">
                  <c:v>38342</c:v>
                </c:pt>
                <c:pt idx="7">
                  <c:v>50862</c:v>
                </c:pt>
                <c:pt idx="8">
                  <c:v>45007</c:v>
                </c:pt>
                <c:pt idx="9">
                  <c:v>43030</c:v>
                </c:pt>
                <c:pt idx="10">
                  <c:v>61439</c:v>
                </c:pt>
                <c:pt idx="11">
                  <c:v>50957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D4-40E4-B730-095FC5491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779856"/>
        <c:axId val="1285846576"/>
      </c:lineChart>
      <c:dateAx>
        <c:axId val="1495779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46576"/>
        <c:crosses val="autoZero"/>
        <c:auto val="1"/>
        <c:lblOffset val="100"/>
        <c:baseTimeUnit val="months"/>
      </c:dateAx>
      <c:valAx>
        <c:axId val="12858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B2A4A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0B2A4A"/>
                </a:solidFill>
                <a:latin typeface="Arial"/>
              </a:rPr>
              <a:t>Needs vs Wants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A9D-488F-BCBA-CB08A6532B08}"/>
              </c:ext>
            </c:extLst>
          </c:dPt>
          <c:dPt>
            <c:idx val="1"/>
            <c:bubble3D val="0"/>
            <c:spPr>
              <a:solidFill>
                <a:srgbClr val="C013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A9D-488F-BCBA-CB08A6532B0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9D-488F-BCBA-CB08A6532B0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9D-488F-BCBA-CB08A6532B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'[1]KPI Workings'!$A$22:$A$23</c:f>
              <c:strCache>
                <c:ptCount val="2"/>
                <c:pt idx="0">
                  <c:v>Needs Spend</c:v>
                </c:pt>
                <c:pt idx="1">
                  <c:v>Wants Spend</c:v>
                </c:pt>
              </c:strCache>
            </c:strRef>
          </c:cat>
          <c:val>
            <c:numRef>
              <c:f>'[1]KPI Workings'!$B$22:$B$23</c:f>
              <c:numCache>
                <c:formatCode>General</c:formatCode>
                <c:ptCount val="2"/>
                <c:pt idx="0">
                  <c:v>268468</c:v>
                </c:pt>
                <c:pt idx="1">
                  <c:v>258630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D-488F-BCBA-CB08A653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5DBE3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B2A4A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0B2A4A"/>
                </a:solidFill>
                <a:latin typeface="Arial"/>
              </a:rPr>
              <a:t>Spend by Category (₹, ranked)</a:t>
            </a:r>
          </a:p>
        </c:rich>
      </c:tx>
      <c:layout>
        <c:manualLayout>
          <c:xMode val="edge"/>
          <c:yMode val="edge"/>
          <c:x val="0.26232543254187768"/>
          <c:y val="3.508106706410608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B2A4A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13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C9B-4F94-B623-F8085D6488D5}"/>
              </c:ext>
            </c:extLst>
          </c:dPt>
          <c:dPt>
            <c:idx val="1"/>
            <c:invertIfNegative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C9B-4F94-B623-F8085D6488D5}"/>
              </c:ext>
            </c:extLst>
          </c:dPt>
          <c:dPt>
            <c:idx val="2"/>
            <c:invertIfNegative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C9B-4F94-B623-F8085D6488D5}"/>
              </c:ext>
            </c:extLst>
          </c:dPt>
          <c:dPt>
            <c:idx val="3"/>
            <c:invertIfNegative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C9B-4F94-B623-F8085D6488D5}"/>
              </c:ext>
            </c:extLst>
          </c:dPt>
          <c:dPt>
            <c:idx val="4"/>
            <c:invertIfNegative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C9B-4F94-B623-F8085D6488D5}"/>
              </c:ext>
            </c:extLst>
          </c:dPt>
          <c:dPt>
            <c:idx val="5"/>
            <c:invertIfNegative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3C9B-4F94-B623-F8085D6488D5}"/>
              </c:ext>
            </c:extLst>
          </c:dPt>
          <c:dPt>
            <c:idx val="6"/>
            <c:invertIfNegative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3C9B-4F94-B623-F8085D6488D5}"/>
              </c:ext>
            </c:extLst>
          </c:dPt>
          <c:dPt>
            <c:idx val="7"/>
            <c:invertIfNegative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3C9B-4F94-B623-F8085D6488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9B-4F94-B623-F8085D6488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9B-4F94-B623-F8085D6488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9B-4F94-B623-F8085D6488D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9B-4F94-B623-F8085D6488D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9B-4F94-B623-F8085D6488D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9B-4F94-B623-F8085D6488D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C9B-4F94-B623-F8085D6488D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C9B-4F94-B623-F8085D6488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'[1]KPI Workings'!$K$35:$K$42</c:f>
              <c:strCache>
                <c:ptCount val="8"/>
                <c:pt idx="0">
                  <c:v>Rent</c:v>
                </c:pt>
                <c:pt idx="1">
                  <c:v>Travel</c:v>
                </c:pt>
                <c:pt idx="2">
                  <c:v>Shopping</c:v>
                </c:pt>
                <c:pt idx="3">
                  <c:v>Food &amp; Dining</c:v>
                </c:pt>
                <c:pt idx="4">
                  <c:v>Health</c:v>
                </c:pt>
                <c:pt idx="5">
                  <c:v>Education</c:v>
                </c:pt>
                <c:pt idx="6">
                  <c:v>Utilities</c:v>
                </c:pt>
                <c:pt idx="7">
                  <c:v>Entertainment</c:v>
                </c:pt>
              </c:strCache>
            </c:strRef>
          </c:cat>
          <c:val>
            <c:numRef>
              <c:f>'[1]KPI Workings'!$L$35:$L$42</c:f>
              <c:numCache>
                <c:formatCode>General</c:formatCode>
                <c:ptCount val="8"/>
                <c:pt idx="0">
                  <c:v>133523</c:v>
                </c:pt>
                <c:pt idx="1">
                  <c:v>96509</c:v>
                </c:pt>
                <c:pt idx="2">
                  <c:v>92029</c:v>
                </c:pt>
                <c:pt idx="3">
                  <c:v>70546</c:v>
                </c:pt>
                <c:pt idx="4">
                  <c:v>41729</c:v>
                </c:pt>
                <c:pt idx="5">
                  <c:v>35671</c:v>
                </c:pt>
                <c:pt idx="6">
                  <c:v>35310</c:v>
                </c:pt>
                <c:pt idx="7">
                  <c:v>21781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C9B-4F94-B623-F8085D648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3878135"/>
        <c:axId val="69792250"/>
      </c:barChart>
      <c:catAx>
        <c:axId val="38781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9792250"/>
        <c:crosses val="autoZero"/>
        <c:auto val="1"/>
        <c:lblAlgn val="ctr"/>
        <c:lblOffset val="100"/>
        <c:noMultiLvlLbl val="0"/>
      </c:catAx>
      <c:valAx>
        <c:axId val="69792250"/>
        <c:scaling>
          <c:orientation val="minMax"/>
        </c:scaling>
        <c:delete val="0"/>
        <c:axPos val="t"/>
        <c:majorGridlines>
          <c:spPr>
            <a:ln w="9360">
              <a:solidFill>
                <a:srgbClr val="E3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8781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5DBE3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B2A4A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0B2A4A"/>
                </a:solidFill>
                <a:latin typeface="Arial"/>
              </a:rPr>
              <a:t>Payment Mode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B2A4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F52-4D67-95B3-106CDA011BF9}"/>
              </c:ext>
            </c:extLst>
          </c:dPt>
          <c:dPt>
            <c:idx val="1"/>
            <c:bubble3D val="0"/>
            <c:spPr>
              <a:solidFill>
                <a:srgbClr val="C013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F52-4D67-95B3-106CDA011BF9}"/>
              </c:ext>
            </c:extLst>
          </c:dPt>
          <c:dPt>
            <c:idx val="2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F52-4D67-95B3-106CDA011BF9}"/>
              </c:ext>
            </c:extLst>
          </c:dPt>
          <c:dPt>
            <c:idx val="3"/>
            <c:bubble3D val="0"/>
            <c:spPr>
              <a:solidFill>
                <a:srgbClr val="8DB6D6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F52-4D67-95B3-106CDA011BF9}"/>
              </c:ext>
            </c:extLst>
          </c:dPt>
          <c:dPt>
            <c:idx val="4"/>
            <c:bubble3D val="0"/>
            <c:spPr>
              <a:solidFill>
                <a:srgbClr val="7F0E1C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2F52-4D67-95B3-106CDA011BF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52-4D67-95B3-106CDA011BF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52-4D67-95B3-106CDA011BF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52-4D67-95B3-106CDA011BF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52-4D67-95B3-106CDA011BF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52-4D67-95B3-106CDA011B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'[1]KPI Workings'!$A$63:$A$67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Cash</c:v>
                </c:pt>
                <c:pt idx="4">
                  <c:v>Net Banking</c:v>
                </c:pt>
              </c:strCache>
            </c:strRef>
          </c:cat>
          <c:val>
            <c:numRef>
              <c:f>'[1]KPI Workings'!$B$63:$B$67</c:f>
              <c:numCache>
                <c:formatCode>General</c:formatCode>
                <c:ptCount val="5"/>
                <c:pt idx="0">
                  <c:v>210878</c:v>
                </c:pt>
                <c:pt idx="1">
                  <c:v>79775</c:v>
                </c:pt>
                <c:pt idx="2">
                  <c:v>71766</c:v>
                </c:pt>
                <c:pt idx="3">
                  <c:v>36035</c:v>
                </c:pt>
                <c:pt idx="4">
                  <c:v>128644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52-4D67-95B3-106CDA011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5DBE3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0B2A4A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0B2A4A"/>
                </a:solidFill>
                <a:latin typeface="Arial"/>
              </a:rPr>
              <a:t>Top 8 Sub-Categories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C78A8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132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A13-4D2A-B4A4-910348F2C246}"/>
              </c:ext>
            </c:extLst>
          </c:dPt>
          <c:dPt>
            <c:idx val="1"/>
            <c:invertIfNegative val="0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A13-4D2A-B4A4-910348F2C246}"/>
              </c:ext>
            </c:extLst>
          </c:dPt>
          <c:dPt>
            <c:idx val="2"/>
            <c:invertIfNegative val="0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A13-4D2A-B4A4-910348F2C246}"/>
              </c:ext>
            </c:extLst>
          </c:dPt>
          <c:dPt>
            <c:idx val="3"/>
            <c:invertIfNegative val="0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A13-4D2A-B4A4-910348F2C246}"/>
              </c:ext>
            </c:extLst>
          </c:dPt>
          <c:dPt>
            <c:idx val="4"/>
            <c:invertIfNegative val="0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A13-4D2A-B4A4-910348F2C246}"/>
              </c:ext>
            </c:extLst>
          </c:dPt>
          <c:dPt>
            <c:idx val="5"/>
            <c:invertIfNegative val="0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BA13-4D2A-B4A4-910348F2C246}"/>
              </c:ext>
            </c:extLst>
          </c:dPt>
          <c:dPt>
            <c:idx val="6"/>
            <c:invertIfNegative val="0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BA13-4D2A-B4A4-910348F2C246}"/>
              </c:ext>
            </c:extLst>
          </c:dPt>
          <c:dPt>
            <c:idx val="7"/>
            <c:invertIfNegative val="0"/>
            <c:bubble3D val="0"/>
            <c:spPr>
              <a:solidFill>
                <a:srgbClr val="3C78A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BA13-4D2A-B4A4-910348F2C24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13-4D2A-B4A4-910348F2C24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13-4D2A-B4A4-910348F2C24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13-4D2A-B4A4-910348F2C24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13-4D2A-B4A4-910348F2C24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13-4D2A-B4A4-910348F2C24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13-4D2A-B4A4-910348F2C24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13-4D2A-B4A4-910348F2C246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800" b="1" strike="noStrike" spc="-1">
                      <a:solidFill>
                        <a:srgbClr val="40404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A13-4D2A-B4A4-910348F2C2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'[1]KPI Workings'!$H$72:$H$79</c:f>
              <c:strCache>
                <c:ptCount val="8"/>
                <c:pt idx="0">
                  <c:v>House Rent</c:v>
                </c:pt>
                <c:pt idx="1">
                  <c:v>Trips</c:v>
                </c:pt>
                <c:pt idx="2">
                  <c:v>Electronics</c:v>
                </c:pt>
                <c:pt idx="3">
                  <c:v>Clothing</c:v>
                </c:pt>
                <c:pt idx="4">
                  <c:v>Groceries</c:v>
                </c:pt>
                <c:pt idx="5">
                  <c:v>Course Fees</c:v>
                </c:pt>
                <c:pt idx="6">
                  <c:v>Restaurants</c:v>
                </c:pt>
                <c:pt idx="7">
                  <c:v>Insurance</c:v>
                </c:pt>
              </c:strCache>
            </c:strRef>
          </c:cat>
          <c:val>
            <c:numRef>
              <c:f>'[1]KPI Workings'!$I$72:$I$79</c:f>
              <c:numCache>
                <c:formatCode>General</c:formatCode>
                <c:ptCount val="8"/>
                <c:pt idx="0">
                  <c:v>102000</c:v>
                </c:pt>
                <c:pt idx="1">
                  <c:v>76243</c:v>
                </c:pt>
                <c:pt idx="2">
                  <c:v>45807</c:v>
                </c:pt>
                <c:pt idx="3">
                  <c:v>29295</c:v>
                </c:pt>
                <c:pt idx="4">
                  <c:v>28611</c:v>
                </c:pt>
                <c:pt idx="5">
                  <c:v>25028</c:v>
                </c:pt>
                <c:pt idx="6">
                  <c:v>24136</c:v>
                </c:pt>
                <c:pt idx="7">
                  <c:v>20240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A13-4D2A-B4A4-910348F2C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97636614"/>
        <c:axId val="30931852"/>
      </c:barChart>
      <c:catAx>
        <c:axId val="9763661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0931852"/>
        <c:crosses val="autoZero"/>
        <c:auto val="1"/>
        <c:lblAlgn val="ctr"/>
        <c:lblOffset val="100"/>
        <c:noMultiLvlLbl val="0"/>
      </c:catAx>
      <c:valAx>
        <c:axId val="30931852"/>
        <c:scaling>
          <c:orientation val="minMax"/>
        </c:scaling>
        <c:delete val="0"/>
        <c:axPos val="t"/>
        <c:majorGridlines>
          <c:spPr>
            <a:ln w="9360">
              <a:solidFill>
                <a:srgbClr val="E3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76366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5DBE3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svg"/><Relationship Id="rId5" Type="http://schemas.openxmlformats.org/officeDocument/2006/relationships/chart" Target="../charts/chart5.xml"/><Relationship Id="rId15" Type="http://schemas.openxmlformats.org/officeDocument/2006/relationships/image" Target="../media/image9.svg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sv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11</xdr:row>
      <xdr:rowOff>118534</xdr:rowOff>
    </xdr:from>
    <xdr:to>
      <xdr:col>9</xdr:col>
      <xdr:colOff>101600</xdr:colOff>
      <xdr:row>30</xdr:row>
      <xdr:rowOff>85973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BCCD2D-24E7-C7E8-4930-13EF478A8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190239</xdr:colOff>
      <xdr:row>11</xdr:row>
      <xdr:rowOff>105678</xdr:rowOff>
    </xdr:from>
    <xdr:to>
      <xdr:col>16</xdr:col>
      <xdr:colOff>101601</xdr:colOff>
      <xdr:row>30</xdr:row>
      <xdr:rowOff>16933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CB38286B-26C9-42ED-897C-B2C4D0792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229491</xdr:colOff>
      <xdr:row>11</xdr:row>
      <xdr:rowOff>119180</xdr:rowOff>
    </xdr:from>
    <xdr:to>
      <xdr:col>22</xdr:col>
      <xdr:colOff>60158</xdr:colOff>
      <xdr:row>30</xdr:row>
      <xdr:rowOff>1428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6382A9-3946-41DD-A986-EC92C0C3B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171917</xdr:colOff>
      <xdr:row>31</xdr:row>
      <xdr:rowOff>84668</xdr:rowOff>
    </xdr:from>
    <xdr:to>
      <xdr:col>9</xdr:col>
      <xdr:colOff>308429</xdr:colOff>
      <xdr:row>50</xdr:row>
      <xdr:rowOff>54428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31A689-0917-4C7B-A58F-557B29DD8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284423</xdr:colOff>
      <xdr:row>31</xdr:row>
      <xdr:rowOff>79212</xdr:rowOff>
    </xdr:from>
    <xdr:to>
      <xdr:col>15</xdr:col>
      <xdr:colOff>558799</xdr:colOff>
      <xdr:row>50</xdr:row>
      <xdr:rowOff>84667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22E6A4-684B-4501-913C-93CE0A240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572826</xdr:colOff>
      <xdr:row>31</xdr:row>
      <xdr:rowOff>67733</xdr:rowOff>
    </xdr:from>
    <xdr:to>
      <xdr:col>22</xdr:col>
      <xdr:colOff>53919</xdr:colOff>
      <xdr:row>50</xdr:row>
      <xdr:rowOff>67733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7F0759-6E17-4971-ABC1-A0343D55C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53574</xdr:colOff>
      <xdr:row>50</xdr:row>
      <xdr:rowOff>54428</xdr:rowOff>
    </xdr:from>
    <xdr:to>
      <xdr:col>15</xdr:col>
      <xdr:colOff>471712</xdr:colOff>
      <xdr:row>65</xdr:row>
      <xdr:rowOff>145143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ADE383-EA61-4E2D-54A1-B8488204E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7003" y="9189357"/>
          <a:ext cx="7911138" cy="2812143"/>
        </a:xfrm>
        <a:prstGeom prst="rect">
          <a:avLst/>
        </a:prstGeom>
      </xdr:spPr>
    </xdr:pic>
    <xdr:clientData/>
  </xdr:twoCellAnchor>
  <xdr:twoCellAnchor>
    <xdr:from>
      <xdr:col>15</xdr:col>
      <xdr:colOff>580571</xdr:colOff>
      <xdr:row>51</xdr:row>
      <xdr:rowOff>36286</xdr:rowOff>
    </xdr:from>
    <xdr:to>
      <xdr:col>22</xdr:col>
      <xdr:colOff>36285</xdr:colOff>
      <xdr:row>64</xdr:row>
      <xdr:rowOff>136071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DADBBC3-6A65-9209-A245-85F891FD21D1}"/>
            </a:ext>
          </a:extLst>
        </xdr:cNvPr>
        <xdr:cNvSpPr txBox="1"/>
      </xdr:nvSpPr>
      <xdr:spPr>
        <a:xfrm>
          <a:off x="10287000" y="9352643"/>
          <a:ext cx="3710214" cy="2458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                                     KEY INSIGHTS</a:t>
          </a:r>
        </a:p>
        <a:p>
          <a:endParaRPr lang="en-IN" sz="1100"/>
        </a:p>
        <a:p>
          <a:r>
            <a:rPr lang="en-IN"/>
            <a:t>1. Top spending category</a:t>
          </a:r>
        </a:p>
        <a:p>
          <a:r>
            <a:rPr lang="en-IN"/>
            <a:t>Education / Rent / whichever category has the highest total spend.</a:t>
          </a:r>
        </a:p>
        <a:p>
          <a:r>
            <a:rPr lang="en-IN"/>
            <a:t>2. Monthly spending</a:t>
          </a:r>
        </a:p>
        <a:p>
          <a:r>
            <a:rPr lang="en-IN"/>
            <a:t>Identify the month with the highest and lowest spending from your line chart.</a:t>
          </a:r>
        </a:p>
        <a:p>
          <a:r>
            <a:rPr lang="en-IN"/>
            <a:t>3. Needs vs Wants</a:t>
          </a:r>
        </a:p>
        <a:p>
          <a:r>
            <a:rPr lang="en-IN"/>
            <a:t>Report the percentages shown in your donut chart.</a:t>
          </a:r>
        </a:p>
        <a:p>
          <a:r>
            <a:rPr lang="en-IN"/>
            <a:t>4. Preferred payment mode</a:t>
          </a:r>
        </a:p>
        <a:p>
          <a:r>
            <a:rPr lang="en-IN"/>
            <a:t>Identify the payment method with the largest share in your payment-mode chart.</a:t>
          </a:r>
        </a:p>
        <a:p>
          <a:endParaRPr lang="en-IN" sz="1100"/>
        </a:p>
      </xdr:txBody>
    </xdr:sp>
    <xdr:clientData/>
  </xdr:twoCellAnchor>
  <xdr:twoCellAnchor>
    <xdr:from>
      <xdr:col>2</xdr:col>
      <xdr:colOff>184354</xdr:colOff>
      <xdr:row>4</xdr:row>
      <xdr:rowOff>9870</xdr:rowOff>
    </xdr:from>
    <xdr:to>
      <xdr:col>7</xdr:col>
      <xdr:colOff>368709</xdr:colOff>
      <xdr:row>10</xdr:row>
      <xdr:rowOff>108193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8A20325-D629-851E-D4F9-736DBDA54652}"/>
            </a:ext>
          </a:extLst>
        </xdr:cNvPr>
        <xdr:cNvSpPr/>
      </xdr:nvSpPr>
      <xdr:spPr>
        <a:xfrm>
          <a:off x="2396013" y="809041"/>
          <a:ext cx="2842062" cy="121344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100" b="1">
              <a:solidFill>
                <a:schemeClr val="tx1"/>
              </a:solidFill>
            </a:rPr>
            <a:t>TOTAL</a:t>
          </a:r>
          <a:r>
            <a:rPr lang="en-IN" sz="2100" b="1" baseline="0">
              <a:solidFill>
                <a:schemeClr val="tx1"/>
              </a:solidFill>
            </a:rPr>
            <a:t> SPEND</a:t>
          </a:r>
        </a:p>
        <a:p>
          <a:pPr algn="l"/>
          <a:endParaRPr lang="en-IN" sz="2100" b="1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2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2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5,27,098</a:t>
          </a:r>
          <a:r>
            <a:rPr lang="en-IN" sz="2100" b="1">
              <a:solidFill>
                <a:schemeClr val="tx1"/>
              </a:solidFill>
              <a:effectLst/>
            </a:rPr>
            <a:t> </a:t>
          </a:r>
        </a:p>
        <a:p>
          <a:pPr algn="l"/>
          <a:endParaRPr lang="en-IN" sz="2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435637</xdr:colOff>
      <xdr:row>4</xdr:row>
      <xdr:rowOff>36871</xdr:rowOff>
    </xdr:from>
    <xdr:to>
      <xdr:col>12</xdr:col>
      <xdr:colOff>202122</xdr:colOff>
      <xdr:row>10</xdr:row>
      <xdr:rowOff>135194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09075A5-5FD4-4198-A860-56435616F824}"/>
            </a:ext>
          </a:extLst>
        </xdr:cNvPr>
        <xdr:cNvSpPr/>
      </xdr:nvSpPr>
      <xdr:spPr>
        <a:xfrm>
          <a:off x="5287037" y="811571"/>
          <a:ext cx="2814485" cy="116512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100" b="1">
              <a:solidFill>
                <a:schemeClr val="tx1"/>
              </a:solidFill>
            </a:rPr>
            <a:t>TOTAL</a:t>
          </a:r>
          <a:r>
            <a:rPr lang="en-IN" sz="2100" b="1" baseline="0">
              <a:solidFill>
                <a:schemeClr val="tx1"/>
              </a:solidFill>
            </a:rPr>
            <a:t> SPENDING CATEGORY </a:t>
          </a:r>
        </a:p>
        <a:p>
          <a:pPr algn="l"/>
          <a:r>
            <a:rPr lang="en-IN" sz="2100" b="1" baseline="0">
              <a:solidFill>
                <a:schemeClr val="tx1"/>
              </a:solidFill>
            </a:rPr>
            <a:t>RENT</a:t>
          </a:r>
          <a:endParaRPr lang="en-IN" sz="21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294967</xdr:colOff>
      <xdr:row>4</xdr:row>
      <xdr:rowOff>36873</xdr:rowOff>
    </xdr:from>
    <xdr:to>
      <xdr:col>17</xdr:col>
      <xdr:colOff>61451</xdr:colOff>
      <xdr:row>10</xdr:row>
      <xdr:rowOff>135196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9CC1F1D-AF94-4093-BD51-6A8C477EBC32}"/>
            </a:ext>
          </a:extLst>
        </xdr:cNvPr>
        <xdr:cNvSpPr/>
      </xdr:nvSpPr>
      <xdr:spPr>
        <a:xfrm>
          <a:off x="8234515" y="835744"/>
          <a:ext cx="2839065" cy="120445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100" b="1">
              <a:solidFill>
                <a:schemeClr val="tx1"/>
              </a:solidFill>
            </a:rPr>
            <a:t>DIGITAL PAYMENT SHARE </a:t>
          </a:r>
        </a:p>
        <a:p>
          <a:pPr algn="l"/>
          <a:r>
            <a:rPr lang="en-IN" sz="2100" b="1">
              <a:solidFill>
                <a:schemeClr val="tx1"/>
              </a:solidFill>
            </a:rPr>
            <a:t>93.2%</a:t>
          </a:r>
        </a:p>
      </xdr:txBody>
    </xdr:sp>
    <xdr:clientData/>
  </xdr:twoCellAnchor>
  <xdr:twoCellAnchor>
    <xdr:from>
      <xdr:col>17</xdr:col>
      <xdr:colOff>159774</xdr:colOff>
      <xdr:row>4</xdr:row>
      <xdr:rowOff>36873</xdr:rowOff>
    </xdr:from>
    <xdr:to>
      <xdr:col>21</xdr:col>
      <xdr:colOff>540774</xdr:colOff>
      <xdr:row>10</xdr:row>
      <xdr:rowOff>135196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2A95283-CF55-46A5-8B26-48A9E8DEA362}"/>
            </a:ext>
          </a:extLst>
        </xdr:cNvPr>
        <xdr:cNvSpPr/>
      </xdr:nvSpPr>
      <xdr:spPr>
        <a:xfrm>
          <a:off x="11171903" y="835744"/>
          <a:ext cx="2839065" cy="120445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100" b="1">
              <a:solidFill>
                <a:schemeClr val="tx1"/>
              </a:solidFill>
            </a:rPr>
            <a:t>AVERAGE</a:t>
          </a:r>
          <a:r>
            <a:rPr lang="en-IN" sz="2100" b="1" baseline="0">
              <a:solidFill>
                <a:schemeClr val="tx1"/>
              </a:solidFill>
            </a:rPr>
            <a:t> MONTHLY SPEND</a:t>
          </a:r>
        </a:p>
        <a:p>
          <a:pPr algn="l"/>
          <a:r>
            <a:rPr lang="en-IN" sz="2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₹43,925</a:t>
          </a:r>
          <a:r>
            <a:rPr lang="en-IN" sz="2100" b="1">
              <a:solidFill>
                <a:schemeClr val="tx1"/>
              </a:solidFill>
              <a:effectLst/>
            </a:rPr>
            <a:t> </a:t>
          </a:r>
          <a:endParaRPr lang="en-IN" sz="2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232610</xdr:colOff>
      <xdr:row>5</xdr:row>
      <xdr:rowOff>140369</xdr:rowOff>
    </xdr:from>
    <xdr:to>
      <xdr:col>21</xdr:col>
      <xdr:colOff>473241</xdr:colOff>
      <xdr:row>10</xdr:row>
      <xdr:rowOff>80210</xdr:rowOff>
    </xdr:to>
    <xdr:pic>
      <xdr:nvPicPr>
        <xdr:cNvPr id="15" name="Graphic 14" descr="Bar chart with solid fill">
          <a:extLst>
            <a:ext uri="{FF2B5EF4-FFF2-40B4-BE49-F238E27FC236}">
              <a16:creationId xmlns:a16="http://schemas.microsoft.com/office/drawing/2014/main" id="{75A259EF-090A-53E8-8685-3F029B4A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2865768" y="1102895"/>
          <a:ext cx="842210" cy="842210"/>
        </a:xfrm>
        <a:prstGeom prst="rect">
          <a:avLst/>
        </a:prstGeom>
      </xdr:spPr>
    </xdr:pic>
    <xdr:clientData/>
  </xdr:twoCellAnchor>
  <xdr:twoCellAnchor editAs="oneCell">
    <xdr:from>
      <xdr:col>5</xdr:col>
      <xdr:colOff>538977</xdr:colOff>
      <xdr:row>5</xdr:row>
      <xdr:rowOff>167268</xdr:rowOff>
    </xdr:from>
    <xdr:to>
      <xdr:col>7</xdr:col>
      <xdr:colOff>226743</xdr:colOff>
      <xdr:row>10</xdr:row>
      <xdr:rowOff>152399</xdr:rowOff>
    </xdr:to>
    <xdr:pic>
      <xdr:nvPicPr>
        <xdr:cNvPr id="17" name="Graphic 16" descr="Coins with solid fill">
          <a:extLst>
            <a:ext uri="{FF2B5EF4-FFF2-40B4-BE49-F238E27FC236}">
              <a16:creationId xmlns:a16="http://schemas.microsoft.com/office/drawing/2014/main" id="{A6D1B5D0-3F53-455C-709B-BDED5D8D3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181709" y="115229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15</xdr:col>
      <xdr:colOff>446050</xdr:colOff>
      <xdr:row>6</xdr:row>
      <xdr:rowOff>37171</xdr:rowOff>
    </xdr:from>
    <xdr:to>
      <xdr:col>17</xdr:col>
      <xdr:colOff>22303</xdr:colOff>
      <xdr:row>10</xdr:row>
      <xdr:rowOff>96644</xdr:rowOff>
    </xdr:to>
    <xdr:pic>
      <xdr:nvPicPr>
        <xdr:cNvPr id="19" name="Graphic 18" descr="Pie chart with solid fill">
          <a:extLst>
            <a:ext uri="{FF2B5EF4-FFF2-40B4-BE49-F238E27FC236}">
              <a16:creationId xmlns:a16="http://schemas.microsoft.com/office/drawing/2014/main" id="{F5A04F1C-7A70-85F0-C2A9-C2BA8A95E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0221952" y="1208049"/>
          <a:ext cx="802888" cy="802888"/>
        </a:xfrm>
        <a:prstGeom prst="rect">
          <a:avLst/>
        </a:prstGeom>
      </xdr:spPr>
    </xdr:pic>
    <xdr:clientData/>
  </xdr:twoCellAnchor>
  <xdr:twoCellAnchor editAs="oneCell">
    <xdr:from>
      <xdr:col>11</xdr:col>
      <xdr:colOff>55756</xdr:colOff>
      <xdr:row>5</xdr:row>
      <xdr:rowOff>167269</xdr:rowOff>
    </xdr:from>
    <xdr:to>
      <xdr:col>12</xdr:col>
      <xdr:colOff>185855</xdr:colOff>
      <xdr:row>9</xdr:row>
      <xdr:rowOff>167270</xdr:rowOff>
    </xdr:to>
    <xdr:pic>
      <xdr:nvPicPr>
        <xdr:cNvPr id="21" name="Graphic 20" descr="Home with solid fill">
          <a:extLst>
            <a:ext uri="{FF2B5EF4-FFF2-40B4-BE49-F238E27FC236}">
              <a16:creationId xmlns:a16="http://schemas.microsoft.com/office/drawing/2014/main" id="{6374C336-F926-9D7B-F638-4FAF414DA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378390" y="1152293"/>
          <a:ext cx="743416" cy="7434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.A%20Rathika%20Priyanka\Downloads\Expense_Categorization_Dashboard.xlsx" TargetMode="External"/><Relationship Id="rId1" Type="http://schemas.openxmlformats.org/officeDocument/2006/relationships/externalLinkPath" Target="Expense_Categorization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"/>
      <sheetName val="KPI Workings"/>
      <sheetName val="Pivot Tables"/>
      <sheetName val="Dashboard"/>
    </sheetNames>
    <sheetDataSet>
      <sheetData sheetId="0">
        <row r="2">
          <cell r="A2" t="str">
            <v>TX0001</v>
          </cell>
          <cell r="B2">
            <v>45931</v>
          </cell>
          <cell r="C2">
            <v>45931</v>
          </cell>
          <cell r="H2" t="str">
            <v>Need</v>
          </cell>
          <cell r="I2">
            <v>8500</v>
          </cell>
        </row>
        <row r="3">
          <cell r="A3" t="str">
            <v>TX0002</v>
          </cell>
          <cell r="B3">
            <v>45931</v>
          </cell>
          <cell r="C3">
            <v>45931</v>
          </cell>
          <cell r="H3" t="str">
            <v>Want</v>
          </cell>
          <cell r="I3">
            <v>2494</v>
          </cell>
        </row>
        <row r="4">
          <cell r="A4" t="str">
            <v>TX0003</v>
          </cell>
          <cell r="B4">
            <v>45931</v>
          </cell>
          <cell r="C4">
            <v>45931</v>
          </cell>
          <cell r="H4" t="str">
            <v>Need</v>
          </cell>
          <cell r="I4">
            <v>344</v>
          </cell>
        </row>
        <row r="5">
          <cell r="A5" t="str">
            <v>TX0004</v>
          </cell>
          <cell r="B5">
            <v>45933</v>
          </cell>
          <cell r="C5">
            <v>45931</v>
          </cell>
          <cell r="H5" t="str">
            <v>Want</v>
          </cell>
          <cell r="I5">
            <v>120</v>
          </cell>
        </row>
        <row r="6">
          <cell r="A6" t="str">
            <v>TX0005</v>
          </cell>
          <cell r="B6">
            <v>45933</v>
          </cell>
          <cell r="C6">
            <v>45931</v>
          </cell>
          <cell r="H6" t="str">
            <v>Need</v>
          </cell>
          <cell r="I6">
            <v>2483</v>
          </cell>
        </row>
        <row r="7">
          <cell r="A7" t="str">
            <v>TX0006</v>
          </cell>
          <cell r="B7">
            <v>45933</v>
          </cell>
          <cell r="C7">
            <v>45931</v>
          </cell>
          <cell r="H7" t="str">
            <v>Need</v>
          </cell>
          <cell r="I7">
            <v>1080</v>
          </cell>
        </row>
        <row r="8">
          <cell r="A8" t="str">
            <v>TX0007</v>
          </cell>
          <cell r="B8">
            <v>45934</v>
          </cell>
          <cell r="C8">
            <v>45931</v>
          </cell>
          <cell r="H8" t="str">
            <v>Need</v>
          </cell>
          <cell r="I8">
            <v>683</v>
          </cell>
        </row>
        <row r="9">
          <cell r="A9" t="str">
            <v>TX0008</v>
          </cell>
          <cell r="B9">
            <v>45936</v>
          </cell>
          <cell r="C9">
            <v>45931</v>
          </cell>
          <cell r="H9" t="str">
            <v>Need</v>
          </cell>
          <cell r="I9">
            <v>573</v>
          </cell>
        </row>
        <row r="10">
          <cell r="A10" t="str">
            <v>TX0009</v>
          </cell>
          <cell r="B10">
            <v>45938</v>
          </cell>
          <cell r="C10">
            <v>45931</v>
          </cell>
          <cell r="H10" t="str">
            <v>Want</v>
          </cell>
          <cell r="I10">
            <v>390</v>
          </cell>
        </row>
        <row r="11">
          <cell r="A11" t="str">
            <v>TX0010</v>
          </cell>
          <cell r="B11">
            <v>45938</v>
          </cell>
          <cell r="C11">
            <v>45931</v>
          </cell>
          <cell r="H11" t="str">
            <v>Need</v>
          </cell>
          <cell r="I11">
            <v>398</v>
          </cell>
        </row>
        <row r="12">
          <cell r="A12" t="str">
            <v>TX0011</v>
          </cell>
          <cell r="B12">
            <v>45939</v>
          </cell>
          <cell r="C12">
            <v>45931</v>
          </cell>
          <cell r="H12" t="str">
            <v>Need</v>
          </cell>
          <cell r="I12">
            <v>321</v>
          </cell>
        </row>
        <row r="13">
          <cell r="A13" t="str">
            <v>TX0012</v>
          </cell>
          <cell r="B13">
            <v>45939</v>
          </cell>
          <cell r="C13">
            <v>45931</v>
          </cell>
          <cell r="H13" t="str">
            <v>Need</v>
          </cell>
          <cell r="I13">
            <v>1572</v>
          </cell>
        </row>
        <row r="14">
          <cell r="A14" t="str">
            <v>TX0013</v>
          </cell>
          <cell r="B14">
            <v>45939</v>
          </cell>
          <cell r="C14">
            <v>45931</v>
          </cell>
          <cell r="H14" t="str">
            <v>Need</v>
          </cell>
          <cell r="I14">
            <v>1086</v>
          </cell>
        </row>
        <row r="15">
          <cell r="A15" t="str">
            <v>TX0014</v>
          </cell>
          <cell r="B15">
            <v>45940</v>
          </cell>
          <cell r="C15">
            <v>45931</v>
          </cell>
          <cell r="H15" t="str">
            <v>Need</v>
          </cell>
          <cell r="I15">
            <v>1798</v>
          </cell>
        </row>
        <row r="16">
          <cell r="A16" t="str">
            <v>TX0015</v>
          </cell>
          <cell r="B16">
            <v>45942</v>
          </cell>
          <cell r="C16">
            <v>45931</v>
          </cell>
          <cell r="H16" t="str">
            <v>Want</v>
          </cell>
          <cell r="I16">
            <v>219</v>
          </cell>
        </row>
        <row r="17">
          <cell r="A17" t="str">
            <v>TX0016</v>
          </cell>
          <cell r="B17">
            <v>45942</v>
          </cell>
          <cell r="C17">
            <v>45931</v>
          </cell>
          <cell r="H17" t="str">
            <v>Want</v>
          </cell>
          <cell r="I17">
            <v>1013</v>
          </cell>
        </row>
        <row r="18">
          <cell r="A18" t="str">
            <v>TX0017</v>
          </cell>
          <cell r="B18">
            <v>45944</v>
          </cell>
          <cell r="C18">
            <v>45931</v>
          </cell>
          <cell r="H18" t="str">
            <v>Want</v>
          </cell>
          <cell r="I18">
            <v>505</v>
          </cell>
        </row>
        <row r="19">
          <cell r="A19" t="str">
            <v>TX0018</v>
          </cell>
          <cell r="B19">
            <v>45945</v>
          </cell>
          <cell r="C19">
            <v>45931</v>
          </cell>
          <cell r="H19" t="str">
            <v>Want</v>
          </cell>
          <cell r="I19">
            <v>6062</v>
          </cell>
        </row>
        <row r="20">
          <cell r="A20" t="str">
            <v>TX0019</v>
          </cell>
          <cell r="B20">
            <v>45945</v>
          </cell>
          <cell r="C20">
            <v>45931</v>
          </cell>
          <cell r="H20" t="str">
            <v>Need</v>
          </cell>
          <cell r="I20">
            <v>305</v>
          </cell>
        </row>
        <row r="21">
          <cell r="A21" t="str">
            <v>TX0020</v>
          </cell>
          <cell r="B21">
            <v>45947</v>
          </cell>
          <cell r="C21">
            <v>45931</v>
          </cell>
          <cell r="H21" t="str">
            <v>Want</v>
          </cell>
          <cell r="I21">
            <v>449</v>
          </cell>
        </row>
        <row r="22">
          <cell r="A22" t="str">
            <v>TX0021</v>
          </cell>
          <cell r="B22">
            <v>45948</v>
          </cell>
          <cell r="C22">
            <v>45931</v>
          </cell>
          <cell r="H22" t="str">
            <v>Want</v>
          </cell>
          <cell r="I22">
            <v>716</v>
          </cell>
        </row>
        <row r="23">
          <cell r="A23" t="str">
            <v>TX0022</v>
          </cell>
          <cell r="B23">
            <v>45949</v>
          </cell>
          <cell r="C23">
            <v>45931</v>
          </cell>
          <cell r="H23" t="str">
            <v>Want</v>
          </cell>
          <cell r="I23">
            <v>1324</v>
          </cell>
        </row>
        <row r="24">
          <cell r="A24" t="str">
            <v>TX0023</v>
          </cell>
          <cell r="B24">
            <v>45951</v>
          </cell>
          <cell r="C24">
            <v>45931</v>
          </cell>
          <cell r="H24" t="str">
            <v>Want</v>
          </cell>
          <cell r="I24">
            <v>218</v>
          </cell>
        </row>
        <row r="25">
          <cell r="A25" t="str">
            <v>TX0024</v>
          </cell>
          <cell r="B25">
            <v>45952</v>
          </cell>
          <cell r="C25">
            <v>45931</v>
          </cell>
          <cell r="H25" t="str">
            <v>Need</v>
          </cell>
          <cell r="I25">
            <v>850</v>
          </cell>
        </row>
        <row r="26">
          <cell r="A26" t="str">
            <v>TX0025</v>
          </cell>
          <cell r="B26">
            <v>45952</v>
          </cell>
          <cell r="C26">
            <v>45931</v>
          </cell>
          <cell r="H26" t="str">
            <v>Need</v>
          </cell>
          <cell r="I26">
            <v>434</v>
          </cell>
        </row>
        <row r="27">
          <cell r="A27" t="str">
            <v>TX0026</v>
          </cell>
          <cell r="B27">
            <v>45953</v>
          </cell>
          <cell r="C27">
            <v>45931</v>
          </cell>
          <cell r="H27" t="str">
            <v>Want</v>
          </cell>
          <cell r="I27">
            <v>594</v>
          </cell>
        </row>
        <row r="28">
          <cell r="A28" t="str">
            <v>TX0027</v>
          </cell>
          <cell r="B28">
            <v>45954</v>
          </cell>
          <cell r="C28">
            <v>45931</v>
          </cell>
          <cell r="H28" t="str">
            <v>Want</v>
          </cell>
          <cell r="I28">
            <v>249</v>
          </cell>
        </row>
        <row r="29">
          <cell r="A29" t="str">
            <v>TX0028</v>
          </cell>
          <cell r="B29">
            <v>45955</v>
          </cell>
          <cell r="C29">
            <v>45931</v>
          </cell>
          <cell r="H29" t="str">
            <v>Want</v>
          </cell>
          <cell r="I29">
            <v>928</v>
          </cell>
        </row>
        <row r="30">
          <cell r="A30" t="str">
            <v>TX0029</v>
          </cell>
          <cell r="B30">
            <v>45957</v>
          </cell>
          <cell r="C30">
            <v>45931</v>
          </cell>
          <cell r="H30" t="str">
            <v>Want</v>
          </cell>
          <cell r="I30">
            <v>670</v>
          </cell>
        </row>
        <row r="31">
          <cell r="A31" t="str">
            <v>TX0030</v>
          </cell>
          <cell r="B31">
            <v>45957</v>
          </cell>
          <cell r="C31">
            <v>45931</v>
          </cell>
          <cell r="H31" t="str">
            <v>Need</v>
          </cell>
          <cell r="I31">
            <v>493</v>
          </cell>
        </row>
        <row r="32">
          <cell r="A32" t="str">
            <v>TX0031</v>
          </cell>
          <cell r="B32">
            <v>45958</v>
          </cell>
          <cell r="C32">
            <v>45931</v>
          </cell>
          <cell r="H32" t="str">
            <v>Want</v>
          </cell>
          <cell r="I32">
            <v>397</v>
          </cell>
        </row>
        <row r="33">
          <cell r="A33" t="str">
            <v>TX0032</v>
          </cell>
          <cell r="B33">
            <v>45958</v>
          </cell>
          <cell r="C33">
            <v>45931</v>
          </cell>
          <cell r="H33" t="str">
            <v>Want</v>
          </cell>
          <cell r="I33">
            <v>424</v>
          </cell>
        </row>
        <row r="34">
          <cell r="A34" t="str">
            <v>TX0033</v>
          </cell>
          <cell r="B34">
            <v>45960</v>
          </cell>
          <cell r="C34">
            <v>45931</v>
          </cell>
          <cell r="H34" t="str">
            <v>Need</v>
          </cell>
          <cell r="I34">
            <v>980</v>
          </cell>
        </row>
        <row r="35">
          <cell r="A35" t="str">
            <v>TX0034</v>
          </cell>
          <cell r="B35">
            <v>45963</v>
          </cell>
          <cell r="C35">
            <v>45962</v>
          </cell>
          <cell r="H35" t="str">
            <v>Want</v>
          </cell>
          <cell r="I35">
            <v>789</v>
          </cell>
        </row>
        <row r="36">
          <cell r="A36" t="str">
            <v>TX0035</v>
          </cell>
          <cell r="B36">
            <v>45964</v>
          </cell>
          <cell r="C36">
            <v>45962</v>
          </cell>
          <cell r="H36" t="str">
            <v>Need</v>
          </cell>
          <cell r="I36">
            <v>1153</v>
          </cell>
        </row>
        <row r="37">
          <cell r="A37" t="str">
            <v>TX0036</v>
          </cell>
          <cell r="B37">
            <v>45964</v>
          </cell>
          <cell r="C37">
            <v>45962</v>
          </cell>
          <cell r="H37" t="str">
            <v>Need</v>
          </cell>
          <cell r="I37">
            <v>8500</v>
          </cell>
        </row>
        <row r="38">
          <cell r="A38" t="str">
            <v>TX0037</v>
          </cell>
          <cell r="B38">
            <v>45964</v>
          </cell>
          <cell r="C38">
            <v>45962</v>
          </cell>
          <cell r="H38" t="str">
            <v>Need</v>
          </cell>
          <cell r="I38">
            <v>1033</v>
          </cell>
        </row>
        <row r="39">
          <cell r="A39" t="str">
            <v>TX0038</v>
          </cell>
          <cell r="B39">
            <v>45965</v>
          </cell>
          <cell r="C39">
            <v>45962</v>
          </cell>
          <cell r="H39" t="str">
            <v>Want</v>
          </cell>
          <cell r="I39">
            <v>191</v>
          </cell>
        </row>
        <row r="40">
          <cell r="A40" t="str">
            <v>TX0039</v>
          </cell>
          <cell r="B40">
            <v>45966</v>
          </cell>
          <cell r="C40">
            <v>45962</v>
          </cell>
          <cell r="H40" t="str">
            <v>Want</v>
          </cell>
          <cell r="I40">
            <v>488</v>
          </cell>
        </row>
        <row r="41">
          <cell r="A41" t="str">
            <v>TX0040</v>
          </cell>
          <cell r="B41">
            <v>45970</v>
          </cell>
          <cell r="C41">
            <v>45962</v>
          </cell>
          <cell r="H41" t="str">
            <v>Want</v>
          </cell>
          <cell r="I41">
            <v>462</v>
          </cell>
        </row>
        <row r="42">
          <cell r="A42" t="str">
            <v>TX0041</v>
          </cell>
          <cell r="B42">
            <v>45976</v>
          </cell>
          <cell r="C42">
            <v>45962</v>
          </cell>
          <cell r="H42" t="str">
            <v>Need</v>
          </cell>
          <cell r="I42">
            <v>678</v>
          </cell>
        </row>
        <row r="43">
          <cell r="A43" t="str">
            <v>TX0042</v>
          </cell>
          <cell r="B43">
            <v>45977</v>
          </cell>
          <cell r="C43">
            <v>45962</v>
          </cell>
          <cell r="H43" t="str">
            <v>Need</v>
          </cell>
          <cell r="I43">
            <v>1964</v>
          </cell>
        </row>
        <row r="44">
          <cell r="A44" t="str">
            <v>TX0043</v>
          </cell>
          <cell r="B44">
            <v>45978</v>
          </cell>
          <cell r="C44">
            <v>45962</v>
          </cell>
          <cell r="H44" t="str">
            <v>Need</v>
          </cell>
          <cell r="I44">
            <v>508</v>
          </cell>
        </row>
        <row r="45">
          <cell r="A45" t="str">
            <v>TX0044</v>
          </cell>
          <cell r="B45">
            <v>45978</v>
          </cell>
          <cell r="C45">
            <v>45962</v>
          </cell>
          <cell r="H45" t="str">
            <v>Want</v>
          </cell>
          <cell r="I45">
            <v>212</v>
          </cell>
        </row>
        <row r="46">
          <cell r="A46" t="str">
            <v>TX0045</v>
          </cell>
          <cell r="B46">
            <v>45980</v>
          </cell>
          <cell r="C46">
            <v>45962</v>
          </cell>
          <cell r="H46" t="str">
            <v>Want</v>
          </cell>
          <cell r="I46">
            <v>378</v>
          </cell>
        </row>
        <row r="47">
          <cell r="A47" t="str">
            <v>TX0046</v>
          </cell>
          <cell r="B47">
            <v>45980</v>
          </cell>
          <cell r="C47">
            <v>45962</v>
          </cell>
          <cell r="H47" t="str">
            <v>Want</v>
          </cell>
          <cell r="I47">
            <v>4331</v>
          </cell>
        </row>
        <row r="48">
          <cell r="A48" t="str">
            <v>TX0047</v>
          </cell>
          <cell r="B48">
            <v>45981</v>
          </cell>
          <cell r="C48">
            <v>45962</v>
          </cell>
          <cell r="H48" t="str">
            <v>Want</v>
          </cell>
          <cell r="I48">
            <v>958</v>
          </cell>
        </row>
        <row r="49">
          <cell r="A49" t="str">
            <v>TX0048</v>
          </cell>
          <cell r="B49">
            <v>45981</v>
          </cell>
          <cell r="C49">
            <v>45962</v>
          </cell>
          <cell r="H49" t="str">
            <v>Need</v>
          </cell>
          <cell r="I49">
            <v>1060</v>
          </cell>
        </row>
        <row r="50">
          <cell r="A50" t="str">
            <v>TX0049</v>
          </cell>
          <cell r="B50">
            <v>45984</v>
          </cell>
          <cell r="C50">
            <v>45962</v>
          </cell>
          <cell r="H50" t="str">
            <v>Need</v>
          </cell>
          <cell r="I50">
            <v>1324</v>
          </cell>
        </row>
        <row r="51">
          <cell r="A51" t="str">
            <v>TX0050</v>
          </cell>
          <cell r="B51">
            <v>45985</v>
          </cell>
          <cell r="C51">
            <v>45962</v>
          </cell>
          <cell r="H51" t="str">
            <v>Need</v>
          </cell>
          <cell r="I51">
            <v>824</v>
          </cell>
        </row>
        <row r="52">
          <cell r="A52" t="str">
            <v>TX0051</v>
          </cell>
          <cell r="B52">
            <v>45985</v>
          </cell>
          <cell r="C52">
            <v>45962</v>
          </cell>
          <cell r="H52" t="str">
            <v>Want</v>
          </cell>
          <cell r="I52">
            <v>4482</v>
          </cell>
        </row>
        <row r="53">
          <cell r="A53" t="str">
            <v>TX0052</v>
          </cell>
          <cell r="B53">
            <v>45986</v>
          </cell>
          <cell r="C53">
            <v>45962</v>
          </cell>
          <cell r="H53" t="str">
            <v>Want</v>
          </cell>
          <cell r="I53">
            <v>615</v>
          </cell>
        </row>
        <row r="54">
          <cell r="A54" t="str">
            <v>TX0053</v>
          </cell>
          <cell r="B54">
            <v>45986</v>
          </cell>
          <cell r="C54">
            <v>45962</v>
          </cell>
          <cell r="H54" t="str">
            <v>Want</v>
          </cell>
          <cell r="I54">
            <v>151</v>
          </cell>
        </row>
        <row r="55">
          <cell r="A55" t="str">
            <v>TX0054</v>
          </cell>
          <cell r="B55">
            <v>45987</v>
          </cell>
          <cell r="C55">
            <v>45962</v>
          </cell>
          <cell r="H55" t="str">
            <v>Want</v>
          </cell>
          <cell r="I55">
            <v>1709</v>
          </cell>
        </row>
        <row r="56">
          <cell r="A56" t="str">
            <v>TX0055</v>
          </cell>
          <cell r="B56">
            <v>45989</v>
          </cell>
          <cell r="C56">
            <v>45962</v>
          </cell>
          <cell r="H56" t="str">
            <v>Want</v>
          </cell>
          <cell r="I56">
            <v>726</v>
          </cell>
        </row>
        <row r="57">
          <cell r="A57" t="str">
            <v>TX0056</v>
          </cell>
          <cell r="B57">
            <v>45989</v>
          </cell>
          <cell r="C57">
            <v>45962</v>
          </cell>
          <cell r="H57" t="str">
            <v>Want</v>
          </cell>
          <cell r="I57">
            <v>1300</v>
          </cell>
        </row>
        <row r="58">
          <cell r="A58" t="str">
            <v>TX0057</v>
          </cell>
          <cell r="B58">
            <v>45989</v>
          </cell>
          <cell r="C58">
            <v>45962</v>
          </cell>
          <cell r="H58" t="str">
            <v>Want</v>
          </cell>
          <cell r="I58">
            <v>2373</v>
          </cell>
        </row>
        <row r="59">
          <cell r="A59" t="str">
            <v>TX0058</v>
          </cell>
          <cell r="B59">
            <v>45991</v>
          </cell>
          <cell r="C59">
            <v>45962</v>
          </cell>
          <cell r="H59" t="str">
            <v>Need</v>
          </cell>
          <cell r="I59">
            <v>464</v>
          </cell>
        </row>
        <row r="60">
          <cell r="A60" t="str">
            <v>TX0059</v>
          </cell>
          <cell r="B60">
            <v>45992</v>
          </cell>
          <cell r="C60">
            <v>45992</v>
          </cell>
          <cell r="H60" t="str">
            <v>Want</v>
          </cell>
          <cell r="I60">
            <v>457</v>
          </cell>
        </row>
        <row r="61">
          <cell r="A61" t="str">
            <v>TX0060</v>
          </cell>
          <cell r="B61">
            <v>45992</v>
          </cell>
          <cell r="C61">
            <v>45992</v>
          </cell>
          <cell r="H61" t="str">
            <v>Need</v>
          </cell>
          <cell r="I61">
            <v>766</v>
          </cell>
        </row>
        <row r="62">
          <cell r="A62" t="str">
            <v>TX0061</v>
          </cell>
          <cell r="B62">
            <v>45993</v>
          </cell>
          <cell r="C62">
            <v>45992</v>
          </cell>
          <cell r="H62" t="str">
            <v>Want</v>
          </cell>
          <cell r="I62">
            <v>228</v>
          </cell>
        </row>
        <row r="63">
          <cell r="A63" t="str">
            <v>TX0062</v>
          </cell>
          <cell r="B63">
            <v>45993</v>
          </cell>
          <cell r="C63">
            <v>45992</v>
          </cell>
          <cell r="H63" t="str">
            <v>Want</v>
          </cell>
          <cell r="I63">
            <v>913</v>
          </cell>
        </row>
        <row r="64">
          <cell r="A64" t="str">
            <v>TX0063</v>
          </cell>
          <cell r="B64">
            <v>45993</v>
          </cell>
          <cell r="C64">
            <v>45992</v>
          </cell>
          <cell r="H64" t="str">
            <v>Want</v>
          </cell>
          <cell r="I64">
            <v>938</v>
          </cell>
        </row>
        <row r="65">
          <cell r="A65" t="str">
            <v>TX0064</v>
          </cell>
          <cell r="B65">
            <v>45993</v>
          </cell>
          <cell r="C65">
            <v>45992</v>
          </cell>
          <cell r="H65" t="str">
            <v>Need</v>
          </cell>
          <cell r="I65">
            <v>292</v>
          </cell>
        </row>
        <row r="66">
          <cell r="A66" t="str">
            <v>TX0065</v>
          </cell>
          <cell r="B66">
            <v>45993</v>
          </cell>
          <cell r="C66">
            <v>45992</v>
          </cell>
          <cell r="H66" t="str">
            <v>Need</v>
          </cell>
          <cell r="I66">
            <v>700</v>
          </cell>
        </row>
        <row r="67">
          <cell r="A67" t="str">
            <v>TX0066</v>
          </cell>
          <cell r="B67">
            <v>45993</v>
          </cell>
          <cell r="C67">
            <v>45992</v>
          </cell>
          <cell r="H67" t="str">
            <v>Need</v>
          </cell>
          <cell r="I67">
            <v>358</v>
          </cell>
        </row>
        <row r="68">
          <cell r="A68" t="str">
            <v>TX0067</v>
          </cell>
          <cell r="B68">
            <v>45994</v>
          </cell>
          <cell r="C68">
            <v>45992</v>
          </cell>
          <cell r="H68" t="str">
            <v>Need</v>
          </cell>
          <cell r="I68">
            <v>574</v>
          </cell>
        </row>
        <row r="69">
          <cell r="A69" t="str">
            <v>TX0068</v>
          </cell>
          <cell r="B69">
            <v>45994</v>
          </cell>
          <cell r="C69">
            <v>45992</v>
          </cell>
          <cell r="H69" t="str">
            <v>Want</v>
          </cell>
          <cell r="I69">
            <v>279</v>
          </cell>
        </row>
        <row r="70">
          <cell r="A70" t="str">
            <v>TX0069</v>
          </cell>
          <cell r="B70">
            <v>45996</v>
          </cell>
          <cell r="C70">
            <v>45992</v>
          </cell>
          <cell r="H70" t="str">
            <v>Need</v>
          </cell>
          <cell r="I70">
            <v>8500</v>
          </cell>
        </row>
        <row r="71">
          <cell r="A71" t="str">
            <v>TX0070</v>
          </cell>
          <cell r="B71">
            <v>45996</v>
          </cell>
          <cell r="C71">
            <v>45992</v>
          </cell>
          <cell r="H71" t="str">
            <v>Want</v>
          </cell>
          <cell r="I71">
            <v>2570</v>
          </cell>
        </row>
        <row r="72">
          <cell r="A72" t="str">
            <v>TX0071</v>
          </cell>
          <cell r="B72">
            <v>45996</v>
          </cell>
          <cell r="C72">
            <v>45992</v>
          </cell>
          <cell r="H72" t="str">
            <v>Need</v>
          </cell>
          <cell r="I72">
            <v>435</v>
          </cell>
        </row>
        <row r="73">
          <cell r="A73" t="str">
            <v>TX0072</v>
          </cell>
          <cell r="B73">
            <v>45997</v>
          </cell>
          <cell r="C73">
            <v>45992</v>
          </cell>
          <cell r="H73" t="str">
            <v>Want</v>
          </cell>
          <cell r="I73">
            <v>603</v>
          </cell>
        </row>
        <row r="74">
          <cell r="A74" t="str">
            <v>TX0073</v>
          </cell>
          <cell r="B74">
            <v>45997</v>
          </cell>
          <cell r="C74">
            <v>45992</v>
          </cell>
          <cell r="H74" t="str">
            <v>Want</v>
          </cell>
          <cell r="I74">
            <v>191</v>
          </cell>
        </row>
        <row r="75">
          <cell r="A75" t="str">
            <v>TX0074</v>
          </cell>
          <cell r="B75">
            <v>45998</v>
          </cell>
          <cell r="C75">
            <v>45992</v>
          </cell>
          <cell r="H75" t="str">
            <v>Need</v>
          </cell>
          <cell r="I75">
            <v>968</v>
          </cell>
        </row>
        <row r="76">
          <cell r="A76" t="str">
            <v>TX0075</v>
          </cell>
          <cell r="B76">
            <v>45999</v>
          </cell>
          <cell r="C76">
            <v>45992</v>
          </cell>
          <cell r="H76" t="str">
            <v>Need</v>
          </cell>
          <cell r="I76">
            <v>615</v>
          </cell>
        </row>
        <row r="77">
          <cell r="A77" t="str">
            <v>TX0076</v>
          </cell>
          <cell r="B77">
            <v>46000</v>
          </cell>
          <cell r="C77">
            <v>45992</v>
          </cell>
          <cell r="H77" t="str">
            <v>Want</v>
          </cell>
          <cell r="I77">
            <v>4949</v>
          </cell>
        </row>
        <row r="78">
          <cell r="A78" t="str">
            <v>TX0077</v>
          </cell>
          <cell r="B78">
            <v>46001</v>
          </cell>
          <cell r="C78">
            <v>45992</v>
          </cell>
          <cell r="H78" t="str">
            <v>Need</v>
          </cell>
          <cell r="I78">
            <v>3179</v>
          </cell>
        </row>
        <row r="79">
          <cell r="A79" t="str">
            <v>TX0078</v>
          </cell>
          <cell r="B79">
            <v>46001</v>
          </cell>
          <cell r="C79">
            <v>45992</v>
          </cell>
          <cell r="H79" t="str">
            <v>Want</v>
          </cell>
          <cell r="I79">
            <v>926</v>
          </cell>
        </row>
        <row r="80">
          <cell r="A80" t="str">
            <v>TX0079</v>
          </cell>
          <cell r="B80">
            <v>46001</v>
          </cell>
          <cell r="C80">
            <v>45992</v>
          </cell>
          <cell r="H80" t="str">
            <v>Need</v>
          </cell>
          <cell r="I80">
            <v>478</v>
          </cell>
        </row>
        <row r="81">
          <cell r="A81" t="str">
            <v>TX0080</v>
          </cell>
          <cell r="B81">
            <v>46006</v>
          </cell>
          <cell r="C81">
            <v>45992</v>
          </cell>
          <cell r="H81" t="str">
            <v>Need</v>
          </cell>
          <cell r="I81">
            <v>1880</v>
          </cell>
        </row>
        <row r="82">
          <cell r="A82" t="str">
            <v>TX0081</v>
          </cell>
          <cell r="B82">
            <v>46007</v>
          </cell>
          <cell r="C82">
            <v>45992</v>
          </cell>
          <cell r="H82" t="str">
            <v>Need</v>
          </cell>
          <cell r="I82">
            <v>2280</v>
          </cell>
        </row>
        <row r="83">
          <cell r="A83" t="str">
            <v>TX0082</v>
          </cell>
          <cell r="B83">
            <v>46007</v>
          </cell>
          <cell r="C83">
            <v>45992</v>
          </cell>
          <cell r="H83" t="str">
            <v>Need</v>
          </cell>
          <cell r="I83">
            <v>1171</v>
          </cell>
        </row>
        <row r="84">
          <cell r="A84" t="str">
            <v>TX0083</v>
          </cell>
          <cell r="B84">
            <v>46010</v>
          </cell>
          <cell r="C84">
            <v>45992</v>
          </cell>
          <cell r="H84" t="str">
            <v>Need</v>
          </cell>
          <cell r="I84">
            <v>1773</v>
          </cell>
        </row>
        <row r="85">
          <cell r="A85" t="str">
            <v>TX0084</v>
          </cell>
          <cell r="B85">
            <v>46012</v>
          </cell>
          <cell r="C85">
            <v>45992</v>
          </cell>
          <cell r="H85" t="str">
            <v>Want</v>
          </cell>
          <cell r="I85">
            <v>252</v>
          </cell>
        </row>
        <row r="86">
          <cell r="A86" t="str">
            <v>TX0085</v>
          </cell>
          <cell r="B86">
            <v>46014</v>
          </cell>
          <cell r="C86">
            <v>45992</v>
          </cell>
          <cell r="H86" t="str">
            <v>Want</v>
          </cell>
          <cell r="I86">
            <v>447</v>
          </cell>
        </row>
        <row r="87">
          <cell r="A87" t="str">
            <v>TX0086</v>
          </cell>
          <cell r="B87">
            <v>46014</v>
          </cell>
          <cell r="C87">
            <v>45992</v>
          </cell>
          <cell r="H87" t="str">
            <v>Want</v>
          </cell>
          <cell r="I87">
            <v>225</v>
          </cell>
        </row>
        <row r="88">
          <cell r="A88" t="str">
            <v>TX0087</v>
          </cell>
          <cell r="B88">
            <v>46015</v>
          </cell>
          <cell r="C88">
            <v>45992</v>
          </cell>
          <cell r="H88" t="str">
            <v>Need</v>
          </cell>
          <cell r="I88">
            <v>702</v>
          </cell>
        </row>
        <row r="89">
          <cell r="A89" t="str">
            <v>TX0088</v>
          </cell>
          <cell r="B89">
            <v>46015</v>
          </cell>
          <cell r="C89">
            <v>45992</v>
          </cell>
          <cell r="H89" t="str">
            <v>Want</v>
          </cell>
          <cell r="I89">
            <v>2857</v>
          </cell>
        </row>
        <row r="90">
          <cell r="A90" t="str">
            <v>TX0089</v>
          </cell>
          <cell r="B90">
            <v>46017</v>
          </cell>
          <cell r="C90">
            <v>45992</v>
          </cell>
          <cell r="H90" t="str">
            <v>Need</v>
          </cell>
          <cell r="I90">
            <v>657</v>
          </cell>
        </row>
        <row r="91">
          <cell r="A91" t="str">
            <v>TX0090</v>
          </cell>
          <cell r="B91">
            <v>46018</v>
          </cell>
          <cell r="C91">
            <v>45992</v>
          </cell>
          <cell r="H91" t="str">
            <v>Need</v>
          </cell>
          <cell r="I91">
            <v>343</v>
          </cell>
        </row>
        <row r="92">
          <cell r="A92" t="str">
            <v>TX0091</v>
          </cell>
          <cell r="B92">
            <v>46018</v>
          </cell>
          <cell r="C92">
            <v>45992</v>
          </cell>
          <cell r="H92" t="str">
            <v>Need</v>
          </cell>
          <cell r="I92">
            <v>885</v>
          </cell>
        </row>
        <row r="93">
          <cell r="A93" t="str">
            <v>TX0092</v>
          </cell>
          <cell r="B93">
            <v>46018</v>
          </cell>
          <cell r="C93">
            <v>45992</v>
          </cell>
          <cell r="H93" t="str">
            <v>Want</v>
          </cell>
          <cell r="I93">
            <v>2497</v>
          </cell>
        </row>
        <row r="94">
          <cell r="A94" t="str">
            <v>TX0093</v>
          </cell>
          <cell r="B94">
            <v>46020</v>
          </cell>
          <cell r="C94">
            <v>45992</v>
          </cell>
          <cell r="H94" t="str">
            <v>Want</v>
          </cell>
          <cell r="I94">
            <v>1017</v>
          </cell>
        </row>
        <row r="95">
          <cell r="A95" t="str">
            <v>TX0094</v>
          </cell>
          <cell r="B95">
            <v>46022</v>
          </cell>
          <cell r="C95">
            <v>45992</v>
          </cell>
          <cell r="H95" t="str">
            <v>Want</v>
          </cell>
          <cell r="I95">
            <v>469</v>
          </cell>
        </row>
        <row r="96">
          <cell r="A96" t="str">
            <v>TX0095</v>
          </cell>
          <cell r="B96">
            <v>46022</v>
          </cell>
          <cell r="C96">
            <v>45992</v>
          </cell>
          <cell r="H96" t="str">
            <v>Want</v>
          </cell>
          <cell r="I96">
            <v>668</v>
          </cell>
        </row>
        <row r="97">
          <cell r="A97" t="str">
            <v>TX0096</v>
          </cell>
          <cell r="B97">
            <v>46022</v>
          </cell>
          <cell r="C97">
            <v>45992</v>
          </cell>
          <cell r="H97" t="str">
            <v>Need</v>
          </cell>
          <cell r="I97">
            <v>856</v>
          </cell>
        </row>
        <row r="98">
          <cell r="A98" t="str">
            <v>TX0097</v>
          </cell>
          <cell r="B98">
            <v>46023</v>
          </cell>
          <cell r="C98">
            <v>46023</v>
          </cell>
          <cell r="H98" t="str">
            <v>Need</v>
          </cell>
          <cell r="I98">
            <v>980</v>
          </cell>
        </row>
        <row r="99">
          <cell r="A99" t="str">
            <v>TX0098</v>
          </cell>
          <cell r="B99">
            <v>46024</v>
          </cell>
          <cell r="C99">
            <v>46023</v>
          </cell>
          <cell r="H99" t="str">
            <v>Want</v>
          </cell>
          <cell r="I99">
            <v>953</v>
          </cell>
        </row>
        <row r="100">
          <cell r="A100" t="str">
            <v>TX0099</v>
          </cell>
          <cell r="B100">
            <v>46026</v>
          </cell>
          <cell r="C100">
            <v>46023</v>
          </cell>
          <cell r="H100" t="str">
            <v>Want</v>
          </cell>
          <cell r="I100">
            <v>519</v>
          </cell>
        </row>
        <row r="101">
          <cell r="A101" t="str">
            <v>TX0100</v>
          </cell>
          <cell r="B101">
            <v>46026</v>
          </cell>
          <cell r="C101">
            <v>46023</v>
          </cell>
          <cell r="H101" t="str">
            <v>Want</v>
          </cell>
          <cell r="I101">
            <v>184</v>
          </cell>
        </row>
        <row r="102">
          <cell r="A102" t="str">
            <v>TX0101</v>
          </cell>
          <cell r="B102">
            <v>46027</v>
          </cell>
          <cell r="C102">
            <v>46023</v>
          </cell>
          <cell r="H102" t="str">
            <v>Want</v>
          </cell>
          <cell r="I102">
            <v>354</v>
          </cell>
        </row>
        <row r="103">
          <cell r="A103" t="str">
            <v>TX0102</v>
          </cell>
          <cell r="B103">
            <v>46027</v>
          </cell>
          <cell r="C103">
            <v>46023</v>
          </cell>
          <cell r="H103" t="str">
            <v>Need</v>
          </cell>
          <cell r="I103">
            <v>8500</v>
          </cell>
        </row>
        <row r="104">
          <cell r="A104" t="str">
            <v>TX0103</v>
          </cell>
          <cell r="B104">
            <v>46028</v>
          </cell>
          <cell r="C104">
            <v>46023</v>
          </cell>
          <cell r="H104" t="str">
            <v>Want</v>
          </cell>
          <cell r="I104">
            <v>367</v>
          </cell>
        </row>
        <row r="105">
          <cell r="A105" t="str">
            <v>TX0104</v>
          </cell>
          <cell r="B105">
            <v>46028</v>
          </cell>
          <cell r="C105">
            <v>46023</v>
          </cell>
          <cell r="H105" t="str">
            <v>Need</v>
          </cell>
          <cell r="I105">
            <v>1531</v>
          </cell>
        </row>
        <row r="106">
          <cell r="A106" t="str">
            <v>TX0105</v>
          </cell>
          <cell r="B106">
            <v>46028</v>
          </cell>
          <cell r="C106">
            <v>46023</v>
          </cell>
          <cell r="H106" t="str">
            <v>Need</v>
          </cell>
          <cell r="I106">
            <v>447</v>
          </cell>
        </row>
        <row r="107">
          <cell r="A107" t="str">
            <v>TX0106</v>
          </cell>
          <cell r="B107">
            <v>46028</v>
          </cell>
          <cell r="C107">
            <v>46023</v>
          </cell>
          <cell r="H107" t="str">
            <v>Need</v>
          </cell>
          <cell r="I107">
            <v>399</v>
          </cell>
        </row>
        <row r="108">
          <cell r="A108" t="str">
            <v>TX0107</v>
          </cell>
          <cell r="B108">
            <v>46030</v>
          </cell>
          <cell r="C108">
            <v>46023</v>
          </cell>
          <cell r="H108" t="str">
            <v>Need</v>
          </cell>
          <cell r="I108">
            <v>1426</v>
          </cell>
        </row>
        <row r="109">
          <cell r="A109" t="str">
            <v>TX0108</v>
          </cell>
          <cell r="B109">
            <v>46031</v>
          </cell>
          <cell r="C109">
            <v>46023</v>
          </cell>
          <cell r="H109" t="str">
            <v>Want</v>
          </cell>
          <cell r="I109">
            <v>1169</v>
          </cell>
        </row>
        <row r="110">
          <cell r="A110" t="str">
            <v>TX0109</v>
          </cell>
          <cell r="B110">
            <v>46031</v>
          </cell>
          <cell r="C110">
            <v>46023</v>
          </cell>
          <cell r="H110" t="str">
            <v>Need</v>
          </cell>
          <cell r="I110">
            <v>667</v>
          </cell>
        </row>
        <row r="111">
          <cell r="A111" t="str">
            <v>TX0110</v>
          </cell>
          <cell r="B111">
            <v>46032</v>
          </cell>
          <cell r="C111">
            <v>46023</v>
          </cell>
          <cell r="H111" t="str">
            <v>Need</v>
          </cell>
          <cell r="I111">
            <v>1576</v>
          </cell>
        </row>
        <row r="112">
          <cell r="A112" t="str">
            <v>TX0111</v>
          </cell>
          <cell r="B112">
            <v>46033</v>
          </cell>
          <cell r="C112">
            <v>46023</v>
          </cell>
          <cell r="H112" t="str">
            <v>Need</v>
          </cell>
          <cell r="I112">
            <v>64</v>
          </cell>
        </row>
        <row r="113">
          <cell r="A113" t="str">
            <v>TX0112</v>
          </cell>
          <cell r="B113">
            <v>46034</v>
          </cell>
          <cell r="C113">
            <v>46023</v>
          </cell>
          <cell r="H113" t="str">
            <v>Need</v>
          </cell>
          <cell r="I113">
            <v>1111</v>
          </cell>
        </row>
        <row r="114">
          <cell r="A114" t="str">
            <v>TX0113</v>
          </cell>
          <cell r="B114">
            <v>46039</v>
          </cell>
          <cell r="C114">
            <v>46023</v>
          </cell>
          <cell r="H114" t="str">
            <v>Need</v>
          </cell>
          <cell r="I114">
            <v>2006</v>
          </cell>
        </row>
        <row r="115">
          <cell r="A115" t="str">
            <v>TX0114</v>
          </cell>
          <cell r="B115">
            <v>46041</v>
          </cell>
          <cell r="C115">
            <v>46023</v>
          </cell>
          <cell r="H115" t="str">
            <v>Need</v>
          </cell>
          <cell r="I115">
            <v>910</v>
          </cell>
        </row>
        <row r="116">
          <cell r="A116" t="str">
            <v>TX0115</v>
          </cell>
          <cell r="B116">
            <v>46041</v>
          </cell>
          <cell r="C116">
            <v>46023</v>
          </cell>
          <cell r="H116" t="str">
            <v>Want</v>
          </cell>
          <cell r="I116">
            <v>391</v>
          </cell>
        </row>
        <row r="117">
          <cell r="A117" t="str">
            <v>TX0116</v>
          </cell>
          <cell r="B117">
            <v>46041</v>
          </cell>
          <cell r="C117">
            <v>46023</v>
          </cell>
          <cell r="H117" t="str">
            <v>Want</v>
          </cell>
          <cell r="I117">
            <v>609</v>
          </cell>
        </row>
        <row r="118">
          <cell r="A118" t="str">
            <v>TX0117</v>
          </cell>
          <cell r="B118">
            <v>46041</v>
          </cell>
          <cell r="C118">
            <v>46023</v>
          </cell>
          <cell r="H118" t="str">
            <v>Need</v>
          </cell>
          <cell r="I118">
            <v>1486</v>
          </cell>
        </row>
        <row r="119">
          <cell r="A119" t="str">
            <v>TX0118</v>
          </cell>
          <cell r="B119">
            <v>46042</v>
          </cell>
          <cell r="C119">
            <v>46023</v>
          </cell>
          <cell r="H119" t="str">
            <v>Want</v>
          </cell>
          <cell r="I119">
            <v>549</v>
          </cell>
        </row>
        <row r="120">
          <cell r="A120" t="str">
            <v>TX0119</v>
          </cell>
          <cell r="B120">
            <v>46043</v>
          </cell>
          <cell r="C120">
            <v>46023</v>
          </cell>
          <cell r="H120" t="str">
            <v>Want</v>
          </cell>
          <cell r="I120">
            <v>791</v>
          </cell>
        </row>
        <row r="121">
          <cell r="A121" t="str">
            <v>TX0120</v>
          </cell>
          <cell r="B121">
            <v>46043</v>
          </cell>
          <cell r="C121">
            <v>46023</v>
          </cell>
          <cell r="H121" t="str">
            <v>Want</v>
          </cell>
          <cell r="I121">
            <v>163</v>
          </cell>
        </row>
        <row r="122">
          <cell r="A122" t="str">
            <v>TX0121</v>
          </cell>
          <cell r="B122">
            <v>46048</v>
          </cell>
          <cell r="C122">
            <v>46023</v>
          </cell>
          <cell r="H122" t="str">
            <v>Want</v>
          </cell>
          <cell r="I122">
            <v>5361</v>
          </cell>
        </row>
        <row r="123">
          <cell r="A123" t="str">
            <v>TX0122</v>
          </cell>
          <cell r="B123">
            <v>46049</v>
          </cell>
          <cell r="C123">
            <v>46023</v>
          </cell>
          <cell r="H123" t="str">
            <v>Want</v>
          </cell>
          <cell r="I123">
            <v>382</v>
          </cell>
        </row>
        <row r="124">
          <cell r="A124" t="str">
            <v>TX0123</v>
          </cell>
          <cell r="B124">
            <v>46050</v>
          </cell>
          <cell r="C124">
            <v>46023</v>
          </cell>
          <cell r="H124" t="str">
            <v>Need</v>
          </cell>
          <cell r="I124">
            <v>2979</v>
          </cell>
        </row>
        <row r="125">
          <cell r="A125" t="str">
            <v>TX0124</v>
          </cell>
          <cell r="B125">
            <v>46050</v>
          </cell>
          <cell r="C125">
            <v>46023</v>
          </cell>
          <cell r="H125" t="str">
            <v>Want</v>
          </cell>
          <cell r="I125">
            <v>204</v>
          </cell>
        </row>
        <row r="126">
          <cell r="A126" t="str">
            <v>TX0125</v>
          </cell>
          <cell r="B126">
            <v>46052</v>
          </cell>
          <cell r="C126">
            <v>46023</v>
          </cell>
          <cell r="H126" t="str">
            <v>Need</v>
          </cell>
          <cell r="I126">
            <v>1354</v>
          </cell>
        </row>
        <row r="127">
          <cell r="A127" t="str">
            <v>TX0126</v>
          </cell>
          <cell r="B127">
            <v>46053</v>
          </cell>
          <cell r="C127">
            <v>46023</v>
          </cell>
          <cell r="H127" t="str">
            <v>Want</v>
          </cell>
          <cell r="I127">
            <v>688</v>
          </cell>
        </row>
        <row r="128">
          <cell r="A128" t="str">
            <v>TX0127</v>
          </cell>
          <cell r="B128">
            <v>46054</v>
          </cell>
          <cell r="C128">
            <v>46054</v>
          </cell>
          <cell r="H128" t="str">
            <v>Need</v>
          </cell>
          <cell r="I128">
            <v>8500</v>
          </cell>
        </row>
        <row r="129">
          <cell r="A129" t="str">
            <v>TX0128</v>
          </cell>
          <cell r="B129">
            <v>46054</v>
          </cell>
          <cell r="C129">
            <v>46054</v>
          </cell>
          <cell r="H129" t="str">
            <v>Want</v>
          </cell>
          <cell r="I129">
            <v>1156</v>
          </cell>
        </row>
        <row r="130">
          <cell r="A130" t="str">
            <v>TX0129</v>
          </cell>
          <cell r="B130">
            <v>46054</v>
          </cell>
          <cell r="C130">
            <v>46054</v>
          </cell>
          <cell r="H130" t="str">
            <v>Need</v>
          </cell>
          <cell r="I130">
            <v>249</v>
          </cell>
        </row>
        <row r="131">
          <cell r="A131" t="str">
            <v>TX0130</v>
          </cell>
          <cell r="B131">
            <v>46055</v>
          </cell>
          <cell r="C131">
            <v>46054</v>
          </cell>
          <cell r="H131" t="str">
            <v>Need</v>
          </cell>
          <cell r="I131">
            <v>1223</v>
          </cell>
        </row>
        <row r="132">
          <cell r="A132" t="str">
            <v>TX0131</v>
          </cell>
          <cell r="B132">
            <v>46056</v>
          </cell>
          <cell r="C132">
            <v>46054</v>
          </cell>
          <cell r="H132" t="str">
            <v>Want</v>
          </cell>
          <cell r="I132">
            <v>379</v>
          </cell>
        </row>
        <row r="133">
          <cell r="A133" t="str">
            <v>TX0132</v>
          </cell>
          <cell r="B133">
            <v>46056</v>
          </cell>
          <cell r="C133">
            <v>46054</v>
          </cell>
          <cell r="H133" t="str">
            <v>Want</v>
          </cell>
          <cell r="I133">
            <v>1459</v>
          </cell>
        </row>
        <row r="134">
          <cell r="A134" t="str">
            <v>TX0133</v>
          </cell>
          <cell r="B134">
            <v>46058</v>
          </cell>
          <cell r="C134">
            <v>46054</v>
          </cell>
          <cell r="H134" t="str">
            <v>Want</v>
          </cell>
          <cell r="I134">
            <v>253</v>
          </cell>
        </row>
        <row r="135">
          <cell r="A135" t="str">
            <v>TX0134</v>
          </cell>
          <cell r="B135">
            <v>46061</v>
          </cell>
          <cell r="C135">
            <v>46054</v>
          </cell>
          <cell r="H135" t="str">
            <v>Need</v>
          </cell>
          <cell r="I135">
            <v>380</v>
          </cell>
        </row>
        <row r="136">
          <cell r="A136" t="str">
            <v>TX0135</v>
          </cell>
          <cell r="B136">
            <v>46061</v>
          </cell>
          <cell r="C136">
            <v>46054</v>
          </cell>
          <cell r="H136" t="str">
            <v>Want</v>
          </cell>
          <cell r="I136">
            <v>269</v>
          </cell>
        </row>
        <row r="137">
          <cell r="A137" t="str">
            <v>TX0136</v>
          </cell>
          <cell r="B137">
            <v>46061</v>
          </cell>
          <cell r="C137">
            <v>46054</v>
          </cell>
          <cell r="H137" t="str">
            <v>Want</v>
          </cell>
          <cell r="I137">
            <v>4701</v>
          </cell>
        </row>
        <row r="138">
          <cell r="A138" t="str">
            <v>TX0137</v>
          </cell>
          <cell r="B138">
            <v>46062</v>
          </cell>
          <cell r="C138">
            <v>46054</v>
          </cell>
          <cell r="H138" t="str">
            <v>Want</v>
          </cell>
          <cell r="I138">
            <v>398</v>
          </cell>
        </row>
        <row r="139">
          <cell r="A139" t="str">
            <v>TX0138</v>
          </cell>
          <cell r="B139">
            <v>46063</v>
          </cell>
          <cell r="C139">
            <v>46054</v>
          </cell>
          <cell r="H139" t="str">
            <v>Want</v>
          </cell>
          <cell r="I139">
            <v>386</v>
          </cell>
        </row>
        <row r="140">
          <cell r="A140" t="str">
            <v>TX0139</v>
          </cell>
          <cell r="B140">
            <v>46065</v>
          </cell>
          <cell r="C140">
            <v>46054</v>
          </cell>
          <cell r="H140" t="str">
            <v>Want</v>
          </cell>
          <cell r="I140">
            <v>194</v>
          </cell>
        </row>
        <row r="141">
          <cell r="A141" t="str">
            <v>TX0140</v>
          </cell>
          <cell r="B141">
            <v>46068</v>
          </cell>
          <cell r="C141">
            <v>46054</v>
          </cell>
          <cell r="H141" t="str">
            <v>Need</v>
          </cell>
          <cell r="I141">
            <v>1138</v>
          </cell>
        </row>
        <row r="142">
          <cell r="A142" t="str">
            <v>TX0141</v>
          </cell>
          <cell r="B142">
            <v>46068</v>
          </cell>
          <cell r="C142">
            <v>46054</v>
          </cell>
          <cell r="H142" t="str">
            <v>Want</v>
          </cell>
          <cell r="I142">
            <v>2284</v>
          </cell>
        </row>
        <row r="143">
          <cell r="A143" t="str">
            <v>TX0142</v>
          </cell>
          <cell r="B143">
            <v>46069</v>
          </cell>
          <cell r="C143">
            <v>46054</v>
          </cell>
          <cell r="H143" t="str">
            <v>Need</v>
          </cell>
          <cell r="I143">
            <v>1651</v>
          </cell>
        </row>
        <row r="144">
          <cell r="A144" t="str">
            <v>TX0143</v>
          </cell>
          <cell r="B144">
            <v>46069</v>
          </cell>
          <cell r="C144">
            <v>46054</v>
          </cell>
          <cell r="H144" t="str">
            <v>Need</v>
          </cell>
          <cell r="I144">
            <v>278</v>
          </cell>
        </row>
        <row r="145">
          <cell r="A145" t="str">
            <v>TX0144</v>
          </cell>
          <cell r="B145">
            <v>46071</v>
          </cell>
          <cell r="C145">
            <v>46054</v>
          </cell>
          <cell r="H145" t="str">
            <v>Want</v>
          </cell>
          <cell r="I145">
            <v>138</v>
          </cell>
        </row>
        <row r="146">
          <cell r="A146" t="str">
            <v>TX0145</v>
          </cell>
          <cell r="B146">
            <v>46071</v>
          </cell>
          <cell r="C146">
            <v>46054</v>
          </cell>
          <cell r="H146" t="str">
            <v>Need</v>
          </cell>
          <cell r="I146">
            <v>1061</v>
          </cell>
        </row>
        <row r="147">
          <cell r="A147" t="str">
            <v>TX0146</v>
          </cell>
          <cell r="B147">
            <v>46071</v>
          </cell>
          <cell r="C147">
            <v>46054</v>
          </cell>
          <cell r="H147" t="str">
            <v>Want</v>
          </cell>
          <cell r="I147">
            <v>111</v>
          </cell>
        </row>
        <row r="148">
          <cell r="A148" t="str">
            <v>TX0147</v>
          </cell>
          <cell r="B148">
            <v>46072</v>
          </cell>
          <cell r="C148">
            <v>46054</v>
          </cell>
          <cell r="H148" t="str">
            <v>Need</v>
          </cell>
          <cell r="I148">
            <v>849</v>
          </cell>
        </row>
        <row r="149">
          <cell r="A149" t="str">
            <v>TX0148</v>
          </cell>
          <cell r="B149">
            <v>46073</v>
          </cell>
          <cell r="C149">
            <v>46054</v>
          </cell>
          <cell r="H149" t="str">
            <v>Want</v>
          </cell>
          <cell r="I149">
            <v>665</v>
          </cell>
        </row>
        <row r="150">
          <cell r="A150" t="str">
            <v>TX0149</v>
          </cell>
          <cell r="B150">
            <v>46074</v>
          </cell>
          <cell r="C150">
            <v>46054</v>
          </cell>
          <cell r="H150" t="str">
            <v>Want</v>
          </cell>
          <cell r="I150">
            <v>400</v>
          </cell>
        </row>
        <row r="151">
          <cell r="A151" t="str">
            <v>TX0150</v>
          </cell>
          <cell r="B151">
            <v>46074</v>
          </cell>
          <cell r="C151">
            <v>46054</v>
          </cell>
          <cell r="H151" t="str">
            <v>Need</v>
          </cell>
          <cell r="I151">
            <v>278</v>
          </cell>
        </row>
        <row r="152">
          <cell r="A152" t="str">
            <v>TX0151</v>
          </cell>
          <cell r="B152">
            <v>46076</v>
          </cell>
          <cell r="C152">
            <v>46054</v>
          </cell>
          <cell r="H152" t="str">
            <v>Need</v>
          </cell>
          <cell r="I152">
            <v>525</v>
          </cell>
        </row>
        <row r="153">
          <cell r="A153" t="str">
            <v>TX0152</v>
          </cell>
          <cell r="B153">
            <v>46077</v>
          </cell>
          <cell r="C153">
            <v>46054</v>
          </cell>
          <cell r="H153" t="str">
            <v>Want</v>
          </cell>
          <cell r="I153">
            <v>2707</v>
          </cell>
        </row>
        <row r="154">
          <cell r="A154" t="str">
            <v>TX0153</v>
          </cell>
          <cell r="B154">
            <v>46077</v>
          </cell>
          <cell r="C154">
            <v>46054</v>
          </cell>
          <cell r="H154" t="str">
            <v>Need</v>
          </cell>
          <cell r="I154">
            <v>998</v>
          </cell>
        </row>
        <row r="155">
          <cell r="A155" t="str">
            <v>TX0154</v>
          </cell>
          <cell r="B155">
            <v>46079</v>
          </cell>
          <cell r="C155">
            <v>46054</v>
          </cell>
          <cell r="H155" t="str">
            <v>Want</v>
          </cell>
          <cell r="I155">
            <v>620</v>
          </cell>
        </row>
        <row r="156">
          <cell r="A156" t="str">
            <v>TX0155</v>
          </cell>
          <cell r="B156">
            <v>46080</v>
          </cell>
          <cell r="C156">
            <v>46054</v>
          </cell>
          <cell r="H156" t="str">
            <v>Want</v>
          </cell>
          <cell r="I156">
            <v>1372</v>
          </cell>
        </row>
        <row r="157">
          <cell r="A157" t="str">
            <v>TX0156</v>
          </cell>
          <cell r="B157">
            <v>46080</v>
          </cell>
          <cell r="C157">
            <v>46054</v>
          </cell>
          <cell r="H157" t="str">
            <v>Want</v>
          </cell>
          <cell r="I157">
            <v>123</v>
          </cell>
        </row>
        <row r="158">
          <cell r="A158" t="str">
            <v>TX0157</v>
          </cell>
          <cell r="B158">
            <v>46081</v>
          </cell>
          <cell r="C158">
            <v>46054</v>
          </cell>
          <cell r="H158" t="str">
            <v>Need</v>
          </cell>
          <cell r="I158">
            <v>1536</v>
          </cell>
        </row>
        <row r="159">
          <cell r="A159" t="str">
            <v>TX0158</v>
          </cell>
          <cell r="B159">
            <v>46082</v>
          </cell>
          <cell r="C159">
            <v>46082</v>
          </cell>
          <cell r="H159" t="str">
            <v>Want</v>
          </cell>
          <cell r="I159">
            <v>352</v>
          </cell>
        </row>
        <row r="160">
          <cell r="A160" t="str">
            <v>TX0159</v>
          </cell>
          <cell r="B160">
            <v>46082</v>
          </cell>
          <cell r="C160">
            <v>46082</v>
          </cell>
          <cell r="H160" t="str">
            <v>Need</v>
          </cell>
          <cell r="I160">
            <v>1032</v>
          </cell>
        </row>
        <row r="161">
          <cell r="A161" t="str">
            <v>TX0160</v>
          </cell>
          <cell r="B161">
            <v>46083</v>
          </cell>
          <cell r="C161">
            <v>46082</v>
          </cell>
          <cell r="H161" t="str">
            <v>Need</v>
          </cell>
          <cell r="I161">
            <v>8500</v>
          </cell>
        </row>
        <row r="162">
          <cell r="A162" t="str">
            <v>TX0161</v>
          </cell>
          <cell r="B162">
            <v>46084</v>
          </cell>
          <cell r="C162">
            <v>46082</v>
          </cell>
          <cell r="H162" t="str">
            <v>Want</v>
          </cell>
          <cell r="I162">
            <v>540</v>
          </cell>
        </row>
        <row r="163">
          <cell r="A163" t="str">
            <v>TX0162</v>
          </cell>
          <cell r="B163">
            <v>46084</v>
          </cell>
          <cell r="C163">
            <v>46082</v>
          </cell>
          <cell r="H163" t="str">
            <v>Want</v>
          </cell>
          <cell r="I163">
            <v>384</v>
          </cell>
        </row>
        <row r="164">
          <cell r="A164" t="str">
            <v>TX0163</v>
          </cell>
          <cell r="B164">
            <v>46088</v>
          </cell>
          <cell r="C164">
            <v>46082</v>
          </cell>
          <cell r="H164" t="str">
            <v>Want</v>
          </cell>
          <cell r="I164">
            <v>1952</v>
          </cell>
        </row>
        <row r="165">
          <cell r="A165" t="str">
            <v>TX0164</v>
          </cell>
          <cell r="B165">
            <v>46089</v>
          </cell>
          <cell r="C165">
            <v>46082</v>
          </cell>
          <cell r="H165" t="str">
            <v>Want</v>
          </cell>
          <cell r="I165">
            <v>1045</v>
          </cell>
        </row>
        <row r="166">
          <cell r="A166" t="str">
            <v>TX0165</v>
          </cell>
          <cell r="B166">
            <v>46090</v>
          </cell>
          <cell r="C166">
            <v>46082</v>
          </cell>
          <cell r="H166" t="str">
            <v>Need</v>
          </cell>
          <cell r="I166">
            <v>1503</v>
          </cell>
        </row>
        <row r="167">
          <cell r="A167" t="str">
            <v>TX0166</v>
          </cell>
          <cell r="B167">
            <v>46090</v>
          </cell>
          <cell r="C167">
            <v>46082</v>
          </cell>
          <cell r="H167" t="str">
            <v>Need</v>
          </cell>
          <cell r="I167">
            <v>952</v>
          </cell>
        </row>
        <row r="168">
          <cell r="A168" t="str">
            <v>TX0167</v>
          </cell>
          <cell r="B168">
            <v>46090</v>
          </cell>
          <cell r="C168">
            <v>46082</v>
          </cell>
          <cell r="H168" t="str">
            <v>Want</v>
          </cell>
          <cell r="I168">
            <v>1453</v>
          </cell>
        </row>
        <row r="169">
          <cell r="A169" t="str">
            <v>TX0168</v>
          </cell>
          <cell r="B169">
            <v>46091</v>
          </cell>
          <cell r="C169">
            <v>46082</v>
          </cell>
          <cell r="H169" t="str">
            <v>Want</v>
          </cell>
          <cell r="I169">
            <v>300</v>
          </cell>
        </row>
        <row r="170">
          <cell r="A170" t="str">
            <v>TX0169</v>
          </cell>
          <cell r="B170">
            <v>46091</v>
          </cell>
          <cell r="C170">
            <v>46082</v>
          </cell>
          <cell r="H170" t="str">
            <v>Want</v>
          </cell>
          <cell r="I170">
            <v>510</v>
          </cell>
        </row>
        <row r="171">
          <cell r="A171" t="str">
            <v>TX0170</v>
          </cell>
          <cell r="B171">
            <v>46091</v>
          </cell>
          <cell r="C171">
            <v>46082</v>
          </cell>
          <cell r="H171" t="str">
            <v>Want</v>
          </cell>
          <cell r="I171">
            <v>643</v>
          </cell>
        </row>
        <row r="172">
          <cell r="A172" t="str">
            <v>TX0171</v>
          </cell>
          <cell r="B172">
            <v>46092</v>
          </cell>
          <cell r="C172">
            <v>46082</v>
          </cell>
          <cell r="H172" t="str">
            <v>Need</v>
          </cell>
          <cell r="I172">
            <v>297</v>
          </cell>
        </row>
        <row r="173">
          <cell r="A173" t="str">
            <v>TX0172</v>
          </cell>
          <cell r="B173">
            <v>46092</v>
          </cell>
          <cell r="C173">
            <v>46082</v>
          </cell>
          <cell r="H173" t="str">
            <v>Want</v>
          </cell>
          <cell r="I173">
            <v>259</v>
          </cell>
        </row>
        <row r="174">
          <cell r="A174" t="str">
            <v>TX0173</v>
          </cell>
          <cell r="B174">
            <v>46092</v>
          </cell>
          <cell r="C174">
            <v>46082</v>
          </cell>
          <cell r="H174" t="str">
            <v>Need</v>
          </cell>
          <cell r="I174">
            <v>1066</v>
          </cell>
        </row>
        <row r="175">
          <cell r="A175" t="str">
            <v>TX0174</v>
          </cell>
          <cell r="B175">
            <v>46093</v>
          </cell>
          <cell r="C175">
            <v>46082</v>
          </cell>
          <cell r="H175" t="str">
            <v>Need</v>
          </cell>
          <cell r="I175">
            <v>1189</v>
          </cell>
        </row>
        <row r="176">
          <cell r="A176" t="str">
            <v>TX0175</v>
          </cell>
          <cell r="B176">
            <v>46093</v>
          </cell>
          <cell r="C176">
            <v>46082</v>
          </cell>
          <cell r="H176" t="str">
            <v>Want</v>
          </cell>
          <cell r="I176">
            <v>1475</v>
          </cell>
        </row>
        <row r="177">
          <cell r="A177" t="str">
            <v>TX0176</v>
          </cell>
          <cell r="B177">
            <v>46094</v>
          </cell>
          <cell r="C177">
            <v>46082</v>
          </cell>
          <cell r="H177" t="str">
            <v>Need</v>
          </cell>
          <cell r="I177">
            <v>845</v>
          </cell>
        </row>
        <row r="178">
          <cell r="A178" t="str">
            <v>TX0177</v>
          </cell>
          <cell r="B178">
            <v>46095</v>
          </cell>
          <cell r="C178">
            <v>46082</v>
          </cell>
          <cell r="H178" t="str">
            <v>Need</v>
          </cell>
          <cell r="I178">
            <v>1266</v>
          </cell>
        </row>
        <row r="179">
          <cell r="A179" t="str">
            <v>TX0178</v>
          </cell>
          <cell r="B179">
            <v>46097</v>
          </cell>
          <cell r="C179">
            <v>46082</v>
          </cell>
          <cell r="H179" t="str">
            <v>Want</v>
          </cell>
          <cell r="I179">
            <v>2209</v>
          </cell>
        </row>
        <row r="180">
          <cell r="A180" t="str">
            <v>TX0179</v>
          </cell>
          <cell r="B180">
            <v>46098</v>
          </cell>
          <cell r="C180">
            <v>46082</v>
          </cell>
          <cell r="H180" t="str">
            <v>Want</v>
          </cell>
          <cell r="I180">
            <v>212</v>
          </cell>
        </row>
        <row r="181">
          <cell r="A181" t="str">
            <v>TX0180</v>
          </cell>
          <cell r="B181">
            <v>46099</v>
          </cell>
          <cell r="C181">
            <v>46082</v>
          </cell>
          <cell r="H181" t="str">
            <v>Want</v>
          </cell>
          <cell r="I181">
            <v>228</v>
          </cell>
        </row>
        <row r="182">
          <cell r="A182" t="str">
            <v>TX0181</v>
          </cell>
          <cell r="B182">
            <v>46099</v>
          </cell>
          <cell r="C182">
            <v>46082</v>
          </cell>
          <cell r="H182" t="str">
            <v>Need</v>
          </cell>
          <cell r="I182">
            <v>366</v>
          </cell>
        </row>
        <row r="183">
          <cell r="A183" t="str">
            <v>TX0182</v>
          </cell>
          <cell r="B183">
            <v>46100</v>
          </cell>
          <cell r="C183">
            <v>46082</v>
          </cell>
          <cell r="H183" t="str">
            <v>Want</v>
          </cell>
          <cell r="I183">
            <v>257</v>
          </cell>
        </row>
        <row r="184">
          <cell r="A184" t="str">
            <v>TX0183</v>
          </cell>
          <cell r="B184">
            <v>46103</v>
          </cell>
          <cell r="C184">
            <v>46082</v>
          </cell>
          <cell r="H184" t="str">
            <v>Want</v>
          </cell>
          <cell r="I184">
            <v>921</v>
          </cell>
        </row>
        <row r="185">
          <cell r="A185" t="str">
            <v>TX0184</v>
          </cell>
          <cell r="B185">
            <v>46103</v>
          </cell>
          <cell r="C185">
            <v>46082</v>
          </cell>
          <cell r="H185" t="str">
            <v>Want</v>
          </cell>
          <cell r="I185">
            <v>175</v>
          </cell>
        </row>
        <row r="186">
          <cell r="A186" t="str">
            <v>TX0185</v>
          </cell>
          <cell r="B186">
            <v>46103</v>
          </cell>
          <cell r="C186">
            <v>46082</v>
          </cell>
          <cell r="H186" t="str">
            <v>Need</v>
          </cell>
          <cell r="I186">
            <v>1661</v>
          </cell>
        </row>
        <row r="187">
          <cell r="A187" t="str">
            <v>TX0186</v>
          </cell>
          <cell r="B187">
            <v>46104</v>
          </cell>
          <cell r="C187">
            <v>46082</v>
          </cell>
          <cell r="H187" t="str">
            <v>Want</v>
          </cell>
          <cell r="I187">
            <v>190</v>
          </cell>
        </row>
        <row r="188">
          <cell r="A188" t="str">
            <v>TX0187</v>
          </cell>
          <cell r="B188">
            <v>46105</v>
          </cell>
          <cell r="C188">
            <v>46082</v>
          </cell>
          <cell r="H188" t="str">
            <v>Want</v>
          </cell>
          <cell r="I188">
            <v>330</v>
          </cell>
        </row>
        <row r="189">
          <cell r="A189" t="str">
            <v>TX0188</v>
          </cell>
          <cell r="B189">
            <v>46106</v>
          </cell>
          <cell r="C189">
            <v>46082</v>
          </cell>
          <cell r="H189" t="str">
            <v>Need</v>
          </cell>
          <cell r="I189">
            <v>788</v>
          </cell>
        </row>
        <row r="190">
          <cell r="A190" t="str">
            <v>TX0189</v>
          </cell>
          <cell r="B190">
            <v>46106</v>
          </cell>
          <cell r="C190">
            <v>46082</v>
          </cell>
          <cell r="H190" t="str">
            <v>Need</v>
          </cell>
          <cell r="I190">
            <v>1175</v>
          </cell>
        </row>
        <row r="191">
          <cell r="A191" t="str">
            <v>TX0190</v>
          </cell>
          <cell r="B191">
            <v>46107</v>
          </cell>
          <cell r="C191">
            <v>46082</v>
          </cell>
          <cell r="H191" t="str">
            <v>Want</v>
          </cell>
          <cell r="I191">
            <v>180</v>
          </cell>
        </row>
        <row r="192">
          <cell r="A192" t="str">
            <v>TX0191</v>
          </cell>
          <cell r="B192">
            <v>46108</v>
          </cell>
          <cell r="C192">
            <v>46082</v>
          </cell>
          <cell r="H192" t="str">
            <v>Want</v>
          </cell>
          <cell r="I192">
            <v>109</v>
          </cell>
        </row>
        <row r="193">
          <cell r="A193" t="str">
            <v>TX0192</v>
          </cell>
          <cell r="B193">
            <v>46109</v>
          </cell>
          <cell r="C193">
            <v>46082</v>
          </cell>
          <cell r="H193" t="str">
            <v>Want</v>
          </cell>
          <cell r="I193">
            <v>3064</v>
          </cell>
        </row>
        <row r="194">
          <cell r="A194" t="str">
            <v>TX0193</v>
          </cell>
          <cell r="B194">
            <v>46109</v>
          </cell>
          <cell r="C194">
            <v>46082</v>
          </cell>
          <cell r="H194" t="str">
            <v>Need</v>
          </cell>
          <cell r="I194">
            <v>403</v>
          </cell>
        </row>
        <row r="195">
          <cell r="A195" t="str">
            <v>TX0194</v>
          </cell>
          <cell r="B195">
            <v>46110</v>
          </cell>
          <cell r="C195">
            <v>46082</v>
          </cell>
          <cell r="H195" t="str">
            <v>Need</v>
          </cell>
          <cell r="I195">
            <v>418</v>
          </cell>
        </row>
        <row r="196">
          <cell r="A196" t="str">
            <v>TX0195</v>
          </cell>
          <cell r="B196">
            <v>46110</v>
          </cell>
          <cell r="C196">
            <v>46082</v>
          </cell>
          <cell r="H196" t="str">
            <v>Need</v>
          </cell>
          <cell r="I196">
            <v>704</v>
          </cell>
        </row>
        <row r="197">
          <cell r="A197" t="str">
            <v>TX0196</v>
          </cell>
          <cell r="B197">
            <v>46111</v>
          </cell>
          <cell r="C197">
            <v>46082</v>
          </cell>
          <cell r="H197" t="str">
            <v>Want</v>
          </cell>
          <cell r="I197">
            <v>435</v>
          </cell>
        </row>
        <row r="198">
          <cell r="A198" t="str">
            <v>TX0197</v>
          </cell>
          <cell r="B198">
            <v>46112</v>
          </cell>
          <cell r="C198">
            <v>46082</v>
          </cell>
          <cell r="H198" t="str">
            <v>Need</v>
          </cell>
          <cell r="I198">
            <v>97</v>
          </cell>
        </row>
        <row r="199">
          <cell r="A199" t="str">
            <v>TX0198</v>
          </cell>
          <cell r="B199">
            <v>46112</v>
          </cell>
          <cell r="C199">
            <v>46082</v>
          </cell>
          <cell r="H199" t="str">
            <v>Need</v>
          </cell>
          <cell r="I199">
            <v>332</v>
          </cell>
        </row>
        <row r="200">
          <cell r="A200" t="str">
            <v>TX0199</v>
          </cell>
          <cell r="B200">
            <v>46113</v>
          </cell>
          <cell r="C200">
            <v>46113</v>
          </cell>
          <cell r="H200" t="str">
            <v>Need</v>
          </cell>
          <cell r="I200">
            <v>858</v>
          </cell>
        </row>
        <row r="201">
          <cell r="A201" t="str">
            <v>TX0200</v>
          </cell>
          <cell r="B201">
            <v>46113</v>
          </cell>
          <cell r="C201">
            <v>46113</v>
          </cell>
          <cell r="H201" t="str">
            <v>Need</v>
          </cell>
          <cell r="I201">
            <v>619</v>
          </cell>
        </row>
        <row r="202">
          <cell r="A202" t="str">
            <v>TX0201</v>
          </cell>
          <cell r="B202">
            <v>46116</v>
          </cell>
          <cell r="C202">
            <v>46113</v>
          </cell>
          <cell r="H202" t="str">
            <v>Need</v>
          </cell>
          <cell r="I202">
            <v>153</v>
          </cell>
        </row>
        <row r="203">
          <cell r="A203" t="str">
            <v>TX0202</v>
          </cell>
          <cell r="B203">
            <v>46117</v>
          </cell>
          <cell r="C203">
            <v>46113</v>
          </cell>
          <cell r="H203" t="str">
            <v>Need</v>
          </cell>
          <cell r="I203">
            <v>8500</v>
          </cell>
        </row>
        <row r="204">
          <cell r="A204" t="str">
            <v>TX0203</v>
          </cell>
          <cell r="B204">
            <v>46117</v>
          </cell>
          <cell r="C204">
            <v>46113</v>
          </cell>
          <cell r="H204" t="str">
            <v>Want</v>
          </cell>
          <cell r="I204">
            <v>210</v>
          </cell>
        </row>
        <row r="205">
          <cell r="A205" t="str">
            <v>TX0204</v>
          </cell>
          <cell r="B205">
            <v>46117</v>
          </cell>
          <cell r="C205">
            <v>46113</v>
          </cell>
          <cell r="H205" t="str">
            <v>Need</v>
          </cell>
          <cell r="I205">
            <v>700</v>
          </cell>
        </row>
        <row r="206">
          <cell r="A206" t="str">
            <v>TX0205</v>
          </cell>
          <cell r="B206">
            <v>46120</v>
          </cell>
          <cell r="C206">
            <v>46113</v>
          </cell>
          <cell r="H206" t="str">
            <v>Want</v>
          </cell>
          <cell r="I206">
            <v>1123</v>
          </cell>
        </row>
        <row r="207">
          <cell r="A207" t="str">
            <v>TX0206</v>
          </cell>
          <cell r="B207">
            <v>46121</v>
          </cell>
          <cell r="C207">
            <v>46113</v>
          </cell>
          <cell r="H207" t="str">
            <v>Need</v>
          </cell>
          <cell r="I207">
            <v>376</v>
          </cell>
        </row>
        <row r="208">
          <cell r="A208" t="str">
            <v>TX0207</v>
          </cell>
          <cell r="B208">
            <v>46122</v>
          </cell>
          <cell r="C208">
            <v>46113</v>
          </cell>
          <cell r="H208" t="str">
            <v>Need</v>
          </cell>
          <cell r="I208">
            <v>370</v>
          </cell>
        </row>
        <row r="209">
          <cell r="A209" t="str">
            <v>TX0208</v>
          </cell>
          <cell r="B209">
            <v>46124</v>
          </cell>
          <cell r="C209">
            <v>46113</v>
          </cell>
          <cell r="H209" t="str">
            <v>Need</v>
          </cell>
          <cell r="I209">
            <v>803</v>
          </cell>
        </row>
        <row r="210">
          <cell r="A210" t="str">
            <v>TX0209</v>
          </cell>
          <cell r="B210">
            <v>46125</v>
          </cell>
          <cell r="C210">
            <v>46113</v>
          </cell>
          <cell r="H210" t="str">
            <v>Need</v>
          </cell>
          <cell r="I210">
            <v>465</v>
          </cell>
        </row>
        <row r="211">
          <cell r="A211" t="str">
            <v>TX0210</v>
          </cell>
          <cell r="B211">
            <v>46128</v>
          </cell>
          <cell r="C211">
            <v>46113</v>
          </cell>
          <cell r="H211" t="str">
            <v>Want</v>
          </cell>
          <cell r="I211">
            <v>221</v>
          </cell>
        </row>
        <row r="212">
          <cell r="A212" t="str">
            <v>TX0211</v>
          </cell>
          <cell r="B212">
            <v>46128</v>
          </cell>
          <cell r="C212">
            <v>46113</v>
          </cell>
          <cell r="H212" t="str">
            <v>Want</v>
          </cell>
          <cell r="I212">
            <v>280</v>
          </cell>
        </row>
        <row r="213">
          <cell r="A213" t="str">
            <v>TX0212</v>
          </cell>
          <cell r="B213">
            <v>46128</v>
          </cell>
          <cell r="C213">
            <v>46113</v>
          </cell>
          <cell r="H213" t="str">
            <v>Need</v>
          </cell>
          <cell r="I213">
            <v>550</v>
          </cell>
        </row>
        <row r="214">
          <cell r="A214" t="str">
            <v>TX0213</v>
          </cell>
          <cell r="B214">
            <v>46129</v>
          </cell>
          <cell r="C214">
            <v>46113</v>
          </cell>
          <cell r="H214" t="str">
            <v>Need</v>
          </cell>
          <cell r="I214">
            <v>3497</v>
          </cell>
        </row>
        <row r="215">
          <cell r="A215" t="str">
            <v>TX0214</v>
          </cell>
          <cell r="B215">
            <v>46129</v>
          </cell>
          <cell r="C215">
            <v>46113</v>
          </cell>
          <cell r="H215" t="str">
            <v>Want</v>
          </cell>
          <cell r="I215">
            <v>172</v>
          </cell>
        </row>
        <row r="216">
          <cell r="A216" t="str">
            <v>TX0215</v>
          </cell>
          <cell r="B216">
            <v>46130</v>
          </cell>
          <cell r="C216">
            <v>46113</v>
          </cell>
          <cell r="H216" t="str">
            <v>Want</v>
          </cell>
          <cell r="I216">
            <v>1008</v>
          </cell>
        </row>
        <row r="217">
          <cell r="A217" t="str">
            <v>TX0216</v>
          </cell>
          <cell r="B217">
            <v>46130</v>
          </cell>
          <cell r="C217">
            <v>46113</v>
          </cell>
          <cell r="H217" t="str">
            <v>Need</v>
          </cell>
          <cell r="I217">
            <v>468</v>
          </cell>
        </row>
        <row r="218">
          <cell r="A218" t="str">
            <v>TX0217</v>
          </cell>
          <cell r="B218">
            <v>46130</v>
          </cell>
          <cell r="C218">
            <v>46113</v>
          </cell>
          <cell r="H218" t="str">
            <v>Want</v>
          </cell>
          <cell r="I218">
            <v>2305</v>
          </cell>
        </row>
        <row r="219">
          <cell r="A219" t="str">
            <v>TX0218</v>
          </cell>
          <cell r="B219">
            <v>46132</v>
          </cell>
          <cell r="C219">
            <v>46113</v>
          </cell>
          <cell r="H219" t="str">
            <v>Need</v>
          </cell>
          <cell r="I219">
            <v>351</v>
          </cell>
        </row>
        <row r="220">
          <cell r="A220" t="str">
            <v>TX0219</v>
          </cell>
          <cell r="B220">
            <v>46135</v>
          </cell>
          <cell r="C220">
            <v>46113</v>
          </cell>
          <cell r="H220" t="str">
            <v>Want</v>
          </cell>
          <cell r="I220">
            <v>534</v>
          </cell>
        </row>
        <row r="221">
          <cell r="A221" t="str">
            <v>TX0220</v>
          </cell>
          <cell r="B221">
            <v>46135</v>
          </cell>
          <cell r="C221">
            <v>46113</v>
          </cell>
          <cell r="H221" t="str">
            <v>Want</v>
          </cell>
          <cell r="I221">
            <v>6085</v>
          </cell>
        </row>
        <row r="222">
          <cell r="A222" t="str">
            <v>TX0221</v>
          </cell>
          <cell r="B222">
            <v>46135</v>
          </cell>
          <cell r="C222">
            <v>46113</v>
          </cell>
          <cell r="H222" t="str">
            <v>Need</v>
          </cell>
          <cell r="I222">
            <v>74</v>
          </cell>
        </row>
        <row r="223">
          <cell r="A223" t="str">
            <v>TX0222</v>
          </cell>
          <cell r="B223">
            <v>46137</v>
          </cell>
          <cell r="C223">
            <v>46113</v>
          </cell>
          <cell r="H223" t="str">
            <v>Want</v>
          </cell>
          <cell r="I223">
            <v>1389</v>
          </cell>
        </row>
        <row r="224">
          <cell r="A224" t="str">
            <v>TX0223</v>
          </cell>
          <cell r="B224">
            <v>46137</v>
          </cell>
          <cell r="C224">
            <v>46113</v>
          </cell>
          <cell r="H224" t="str">
            <v>Need</v>
          </cell>
          <cell r="I224">
            <v>1868</v>
          </cell>
        </row>
        <row r="225">
          <cell r="A225" t="str">
            <v>TX0224</v>
          </cell>
          <cell r="B225">
            <v>46138</v>
          </cell>
          <cell r="C225">
            <v>46113</v>
          </cell>
          <cell r="H225" t="str">
            <v>Want</v>
          </cell>
          <cell r="I225">
            <v>134</v>
          </cell>
        </row>
        <row r="226">
          <cell r="A226" t="str">
            <v>TX0225</v>
          </cell>
          <cell r="B226">
            <v>46139</v>
          </cell>
          <cell r="C226">
            <v>46113</v>
          </cell>
          <cell r="H226" t="str">
            <v>Need</v>
          </cell>
          <cell r="I226">
            <v>1950</v>
          </cell>
        </row>
        <row r="227">
          <cell r="A227" t="str">
            <v>TX0226</v>
          </cell>
          <cell r="B227">
            <v>46139</v>
          </cell>
          <cell r="C227">
            <v>46113</v>
          </cell>
          <cell r="H227" t="str">
            <v>Want</v>
          </cell>
          <cell r="I227">
            <v>378</v>
          </cell>
        </row>
        <row r="228">
          <cell r="A228" t="str">
            <v>TX0227</v>
          </cell>
          <cell r="B228">
            <v>46140</v>
          </cell>
          <cell r="C228">
            <v>46113</v>
          </cell>
          <cell r="H228" t="str">
            <v>Want</v>
          </cell>
          <cell r="I228">
            <v>902</v>
          </cell>
        </row>
        <row r="229">
          <cell r="A229" t="str">
            <v>TX0228</v>
          </cell>
          <cell r="B229">
            <v>46141</v>
          </cell>
          <cell r="C229">
            <v>46113</v>
          </cell>
          <cell r="H229" t="str">
            <v>Want</v>
          </cell>
          <cell r="I229">
            <v>442</v>
          </cell>
        </row>
        <row r="230">
          <cell r="A230" t="str">
            <v>TX0229</v>
          </cell>
          <cell r="B230">
            <v>46142</v>
          </cell>
          <cell r="C230">
            <v>46113</v>
          </cell>
          <cell r="H230" t="str">
            <v>Need</v>
          </cell>
          <cell r="I230">
            <v>817</v>
          </cell>
        </row>
        <row r="231">
          <cell r="A231" t="str">
            <v>TX0230</v>
          </cell>
          <cell r="B231">
            <v>46142</v>
          </cell>
          <cell r="C231">
            <v>46113</v>
          </cell>
          <cell r="H231" t="str">
            <v>Want</v>
          </cell>
          <cell r="I231">
            <v>740</v>
          </cell>
        </row>
        <row r="232">
          <cell r="A232" t="str">
            <v>TX0231</v>
          </cell>
          <cell r="B232">
            <v>46143</v>
          </cell>
          <cell r="C232">
            <v>46143</v>
          </cell>
          <cell r="H232" t="str">
            <v>Need</v>
          </cell>
          <cell r="I232">
            <v>1136</v>
          </cell>
        </row>
        <row r="233">
          <cell r="A233" t="str">
            <v>TX0232</v>
          </cell>
          <cell r="B233">
            <v>46143</v>
          </cell>
          <cell r="C233">
            <v>46143</v>
          </cell>
          <cell r="H233" t="str">
            <v>Need</v>
          </cell>
          <cell r="I233">
            <v>744</v>
          </cell>
        </row>
        <row r="234">
          <cell r="A234" t="str">
            <v>TX0233</v>
          </cell>
          <cell r="B234">
            <v>46145</v>
          </cell>
          <cell r="C234">
            <v>46143</v>
          </cell>
          <cell r="H234" t="str">
            <v>Need</v>
          </cell>
          <cell r="I234">
            <v>588</v>
          </cell>
        </row>
        <row r="235">
          <cell r="A235" t="str">
            <v>TX0234</v>
          </cell>
          <cell r="B235">
            <v>46146</v>
          </cell>
          <cell r="C235">
            <v>46143</v>
          </cell>
          <cell r="H235" t="str">
            <v>Want</v>
          </cell>
          <cell r="I235">
            <v>685</v>
          </cell>
        </row>
        <row r="236">
          <cell r="A236" t="str">
            <v>TX0235</v>
          </cell>
          <cell r="B236">
            <v>46147</v>
          </cell>
          <cell r="C236">
            <v>46143</v>
          </cell>
          <cell r="H236" t="str">
            <v>Want</v>
          </cell>
          <cell r="I236">
            <v>350</v>
          </cell>
        </row>
        <row r="237">
          <cell r="A237" t="str">
            <v>TX0236</v>
          </cell>
          <cell r="B237">
            <v>46147</v>
          </cell>
          <cell r="C237">
            <v>46143</v>
          </cell>
          <cell r="H237" t="str">
            <v>Want</v>
          </cell>
          <cell r="I237">
            <v>843</v>
          </cell>
        </row>
        <row r="238">
          <cell r="A238" t="str">
            <v>TX0237</v>
          </cell>
          <cell r="B238">
            <v>46147</v>
          </cell>
          <cell r="C238">
            <v>46143</v>
          </cell>
          <cell r="H238" t="str">
            <v>Need</v>
          </cell>
          <cell r="I238">
            <v>8500</v>
          </cell>
        </row>
        <row r="239">
          <cell r="A239" t="str">
            <v>TX0238</v>
          </cell>
          <cell r="B239">
            <v>46148</v>
          </cell>
          <cell r="C239">
            <v>46143</v>
          </cell>
          <cell r="H239" t="str">
            <v>Want</v>
          </cell>
          <cell r="I239">
            <v>668</v>
          </cell>
        </row>
        <row r="240">
          <cell r="A240" t="str">
            <v>TX0239</v>
          </cell>
          <cell r="B240">
            <v>46150</v>
          </cell>
          <cell r="C240">
            <v>46143</v>
          </cell>
          <cell r="H240" t="str">
            <v>Want</v>
          </cell>
          <cell r="I240">
            <v>702</v>
          </cell>
        </row>
        <row r="241">
          <cell r="A241" t="str">
            <v>TX0240</v>
          </cell>
          <cell r="B241">
            <v>46150</v>
          </cell>
          <cell r="C241">
            <v>46143</v>
          </cell>
          <cell r="H241" t="str">
            <v>Want</v>
          </cell>
          <cell r="I241">
            <v>134</v>
          </cell>
        </row>
        <row r="242">
          <cell r="A242" t="str">
            <v>TX0241</v>
          </cell>
          <cell r="B242">
            <v>46150</v>
          </cell>
          <cell r="C242">
            <v>46143</v>
          </cell>
          <cell r="H242" t="str">
            <v>Want</v>
          </cell>
          <cell r="I242">
            <v>3194</v>
          </cell>
        </row>
        <row r="243">
          <cell r="A243" t="str">
            <v>TX0242</v>
          </cell>
          <cell r="B243">
            <v>46151</v>
          </cell>
          <cell r="C243">
            <v>46143</v>
          </cell>
          <cell r="H243" t="str">
            <v>Want</v>
          </cell>
          <cell r="I243">
            <v>1063</v>
          </cell>
        </row>
        <row r="244">
          <cell r="A244" t="str">
            <v>TX0243</v>
          </cell>
          <cell r="B244">
            <v>46151</v>
          </cell>
          <cell r="C244">
            <v>46143</v>
          </cell>
          <cell r="H244" t="str">
            <v>Want</v>
          </cell>
          <cell r="I244">
            <v>2650</v>
          </cell>
        </row>
        <row r="245">
          <cell r="A245" t="str">
            <v>TX0244</v>
          </cell>
          <cell r="B245">
            <v>46151</v>
          </cell>
          <cell r="C245">
            <v>46143</v>
          </cell>
          <cell r="H245" t="str">
            <v>Want</v>
          </cell>
          <cell r="I245">
            <v>177</v>
          </cell>
        </row>
        <row r="246">
          <cell r="A246" t="str">
            <v>TX0245</v>
          </cell>
          <cell r="B246">
            <v>46153</v>
          </cell>
          <cell r="C246">
            <v>46143</v>
          </cell>
          <cell r="H246" t="str">
            <v>Need</v>
          </cell>
          <cell r="I246">
            <v>680</v>
          </cell>
        </row>
        <row r="247">
          <cell r="A247" t="str">
            <v>TX0246</v>
          </cell>
          <cell r="B247">
            <v>46154</v>
          </cell>
          <cell r="C247">
            <v>46143</v>
          </cell>
          <cell r="H247" t="str">
            <v>Need</v>
          </cell>
          <cell r="I247">
            <v>72</v>
          </cell>
        </row>
        <row r="248">
          <cell r="A248" t="str">
            <v>TX0247</v>
          </cell>
          <cell r="B248">
            <v>46154</v>
          </cell>
          <cell r="C248">
            <v>46143</v>
          </cell>
          <cell r="H248" t="str">
            <v>Want</v>
          </cell>
          <cell r="I248">
            <v>2931</v>
          </cell>
        </row>
        <row r="249">
          <cell r="A249" t="str">
            <v>TX0248</v>
          </cell>
          <cell r="B249">
            <v>46159</v>
          </cell>
          <cell r="C249">
            <v>46143</v>
          </cell>
          <cell r="H249" t="str">
            <v>Want</v>
          </cell>
          <cell r="I249">
            <v>507</v>
          </cell>
        </row>
        <row r="250">
          <cell r="A250" t="str">
            <v>TX0249</v>
          </cell>
          <cell r="B250">
            <v>46160</v>
          </cell>
          <cell r="C250">
            <v>46143</v>
          </cell>
          <cell r="H250" t="str">
            <v>Want</v>
          </cell>
          <cell r="I250">
            <v>236</v>
          </cell>
        </row>
        <row r="251">
          <cell r="A251" t="str">
            <v>TX0250</v>
          </cell>
          <cell r="B251">
            <v>46160</v>
          </cell>
          <cell r="C251">
            <v>46143</v>
          </cell>
          <cell r="H251" t="str">
            <v>Want</v>
          </cell>
          <cell r="I251">
            <v>6014</v>
          </cell>
        </row>
        <row r="252">
          <cell r="A252" t="str">
            <v>TX0251</v>
          </cell>
          <cell r="B252">
            <v>46162</v>
          </cell>
          <cell r="C252">
            <v>46143</v>
          </cell>
          <cell r="H252" t="str">
            <v>Need</v>
          </cell>
          <cell r="I252">
            <v>381</v>
          </cell>
        </row>
        <row r="253">
          <cell r="A253" t="str">
            <v>TX0252</v>
          </cell>
          <cell r="B253">
            <v>46162</v>
          </cell>
          <cell r="C253">
            <v>46143</v>
          </cell>
          <cell r="H253" t="str">
            <v>Want</v>
          </cell>
          <cell r="I253">
            <v>1059</v>
          </cell>
        </row>
        <row r="254">
          <cell r="A254" t="str">
            <v>TX0253</v>
          </cell>
          <cell r="B254">
            <v>46163</v>
          </cell>
          <cell r="C254">
            <v>46143</v>
          </cell>
          <cell r="H254" t="str">
            <v>Want</v>
          </cell>
          <cell r="I254">
            <v>202</v>
          </cell>
        </row>
        <row r="255">
          <cell r="A255" t="str">
            <v>TX0254</v>
          </cell>
          <cell r="B255">
            <v>46164</v>
          </cell>
          <cell r="C255">
            <v>46143</v>
          </cell>
          <cell r="H255" t="str">
            <v>Need</v>
          </cell>
          <cell r="I255">
            <v>2417</v>
          </cell>
        </row>
        <row r="256">
          <cell r="A256" t="str">
            <v>TX0255</v>
          </cell>
          <cell r="B256">
            <v>46164</v>
          </cell>
          <cell r="C256">
            <v>46143</v>
          </cell>
          <cell r="H256" t="str">
            <v>Need</v>
          </cell>
          <cell r="I256">
            <v>1173</v>
          </cell>
        </row>
        <row r="257">
          <cell r="A257" t="str">
            <v>TX0256</v>
          </cell>
          <cell r="B257">
            <v>46165</v>
          </cell>
          <cell r="C257">
            <v>46143</v>
          </cell>
          <cell r="H257" t="str">
            <v>Want</v>
          </cell>
          <cell r="I257">
            <v>1823</v>
          </cell>
        </row>
        <row r="258">
          <cell r="A258" t="str">
            <v>TX0257</v>
          </cell>
          <cell r="B258">
            <v>46167</v>
          </cell>
          <cell r="C258">
            <v>46143</v>
          </cell>
          <cell r="H258" t="str">
            <v>Want</v>
          </cell>
          <cell r="I258">
            <v>284</v>
          </cell>
        </row>
        <row r="259">
          <cell r="A259" t="str">
            <v>TX0258</v>
          </cell>
          <cell r="B259">
            <v>46168</v>
          </cell>
          <cell r="C259">
            <v>46143</v>
          </cell>
          <cell r="H259" t="str">
            <v>Want</v>
          </cell>
          <cell r="I259">
            <v>137</v>
          </cell>
        </row>
        <row r="260">
          <cell r="A260" t="str">
            <v>TX0259</v>
          </cell>
          <cell r="B260">
            <v>46170</v>
          </cell>
          <cell r="C260">
            <v>46143</v>
          </cell>
          <cell r="H260" t="str">
            <v>Want</v>
          </cell>
          <cell r="I260">
            <v>270</v>
          </cell>
        </row>
        <row r="261">
          <cell r="A261" t="str">
            <v>TX0260</v>
          </cell>
          <cell r="B261">
            <v>46171</v>
          </cell>
          <cell r="C261">
            <v>46143</v>
          </cell>
          <cell r="H261" t="str">
            <v>Want</v>
          </cell>
          <cell r="I261">
            <v>6428</v>
          </cell>
        </row>
        <row r="262">
          <cell r="A262" t="str">
            <v>TX0261</v>
          </cell>
          <cell r="B262">
            <v>46172</v>
          </cell>
          <cell r="C262">
            <v>46143</v>
          </cell>
          <cell r="H262" t="str">
            <v>Want</v>
          </cell>
          <cell r="I262">
            <v>1386</v>
          </cell>
        </row>
        <row r="263">
          <cell r="A263" t="str">
            <v>TX0262</v>
          </cell>
          <cell r="B263">
            <v>46172</v>
          </cell>
          <cell r="C263">
            <v>46143</v>
          </cell>
          <cell r="H263" t="str">
            <v>Want</v>
          </cell>
          <cell r="I263">
            <v>1155</v>
          </cell>
        </row>
        <row r="264">
          <cell r="A264" t="str">
            <v>TX0263</v>
          </cell>
          <cell r="B264">
            <v>46173</v>
          </cell>
          <cell r="C264">
            <v>46143</v>
          </cell>
          <cell r="H264" t="str">
            <v>Want</v>
          </cell>
          <cell r="I264">
            <v>1326</v>
          </cell>
        </row>
        <row r="265">
          <cell r="A265" t="str">
            <v>TX0264</v>
          </cell>
          <cell r="B265">
            <v>46173</v>
          </cell>
          <cell r="C265">
            <v>46143</v>
          </cell>
          <cell r="H265" t="str">
            <v>Need</v>
          </cell>
          <cell r="I265">
            <v>947</v>
          </cell>
        </row>
        <row r="266">
          <cell r="A266" t="str">
            <v>TX0265</v>
          </cell>
          <cell r="B266">
            <v>46177</v>
          </cell>
          <cell r="C266">
            <v>46174</v>
          </cell>
          <cell r="H266" t="str">
            <v>Want</v>
          </cell>
          <cell r="I266">
            <v>591</v>
          </cell>
        </row>
        <row r="267">
          <cell r="A267" t="str">
            <v>TX0266</v>
          </cell>
          <cell r="B267">
            <v>46177</v>
          </cell>
          <cell r="C267">
            <v>46174</v>
          </cell>
          <cell r="H267" t="str">
            <v>Need</v>
          </cell>
          <cell r="I267">
            <v>920</v>
          </cell>
        </row>
        <row r="268">
          <cell r="A268" t="str">
            <v>TX0267</v>
          </cell>
          <cell r="B268">
            <v>46178</v>
          </cell>
          <cell r="C268">
            <v>46174</v>
          </cell>
          <cell r="H268" t="str">
            <v>Need</v>
          </cell>
          <cell r="I268">
            <v>2247</v>
          </cell>
        </row>
        <row r="269">
          <cell r="A269" t="str">
            <v>TX0268</v>
          </cell>
          <cell r="B269">
            <v>46178</v>
          </cell>
          <cell r="C269">
            <v>46174</v>
          </cell>
          <cell r="H269" t="str">
            <v>Need</v>
          </cell>
          <cell r="I269">
            <v>8500</v>
          </cell>
        </row>
        <row r="270">
          <cell r="A270" t="str">
            <v>TX0269</v>
          </cell>
          <cell r="B270">
            <v>46179</v>
          </cell>
          <cell r="C270">
            <v>46174</v>
          </cell>
          <cell r="H270" t="str">
            <v>Want</v>
          </cell>
          <cell r="I270">
            <v>1677</v>
          </cell>
        </row>
        <row r="271">
          <cell r="A271" t="str">
            <v>TX0270</v>
          </cell>
          <cell r="B271">
            <v>46180</v>
          </cell>
          <cell r="C271">
            <v>46174</v>
          </cell>
          <cell r="H271" t="str">
            <v>Want</v>
          </cell>
          <cell r="I271">
            <v>1025</v>
          </cell>
        </row>
        <row r="272">
          <cell r="A272" t="str">
            <v>TX0271</v>
          </cell>
          <cell r="B272">
            <v>46180</v>
          </cell>
          <cell r="C272">
            <v>46174</v>
          </cell>
          <cell r="H272" t="str">
            <v>Want</v>
          </cell>
          <cell r="I272">
            <v>384</v>
          </cell>
        </row>
        <row r="273">
          <cell r="A273" t="str">
            <v>TX0272</v>
          </cell>
          <cell r="B273">
            <v>46180</v>
          </cell>
          <cell r="C273">
            <v>46174</v>
          </cell>
          <cell r="H273" t="str">
            <v>Need</v>
          </cell>
          <cell r="I273">
            <v>1552</v>
          </cell>
        </row>
        <row r="274">
          <cell r="A274" t="str">
            <v>TX0273</v>
          </cell>
          <cell r="B274">
            <v>46181</v>
          </cell>
          <cell r="C274">
            <v>46174</v>
          </cell>
          <cell r="H274" t="str">
            <v>Need</v>
          </cell>
          <cell r="I274">
            <v>3253</v>
          </cell>
        </row>
        <row r="275">
          <cell r="A275" t="str">
            <v>TX0274</v>
          </cell>
          <cell r="B275">
            <v>46181</v>
          </cell>
          <cell r="C275">
            <v>46174</v>
          </cell>
          <cell r="H275" t="str">
            <v>Want</v>
          </cell>
          <cell r="I275">
            <v>953</v>
          </cell>
        </row>
        <row r="276">
          <cell r="A276" t="str">
            <v>TX0275</v>
          </cell>
          <cell r="B276">
            <v>46181</v>
          </cell>
          <cell r="C276">
            <v>46174</v>
          </cell>
          <cell r="H276" t="str">
            <v>Want</v>
          </cell>
          <cell r="I276">
            <v>373</v>
          </cell>
        </row>
        <row r="277">
          <cell r="A277" t="str">
            <v>TX0276</v>
          </cell>
          <cell r="B277">
            <v>46181</v>
          </cell>
          <cell r="C277">
            <v>46174</v>
          </cell>
          <cell r="H277" t="str">
            <v>Want</v>
          </cell>
          <cell r="I277">
            <v>425</v>
          </cell>
        </row>
        <row r="278">
          <cell r="A278" t="str">
            <v>TX0277</v>
          </cell>
          <cell r="B278">
            <v>46181</v>
          </cell>
          <cell r="C278">
            <v>46174</v>
          </cell>
          <cell r="H278" t="str">
            <v>Want</v>
          </cell>
          <cell r="I278">
            <v>559</v>
          </cell>
        </row>
        <row r="279">
          <cell r="A279" t="str">
            <v>TX0278</v>
          </cell>
          <cell r="B279">
            <v>46182</v>
          </cell>
          <cell r="C279">
            <v>46174</v>
          </cell>
          <cell r="H279" t="str">
            <v>Need</v>
          </cell>
          <cell r="I279">
            <v>955</v>
          </cell>
        </row>
        <row r="280">
          <cell r="A280" t="str">
            <v>TX0279</v>
          </cell>
          <cell r="B280">
            <v>46183</v>
          </cell>
          <cell r="C280">
            <v>46174</v>
          </cell>
          <cell r="H280" t="str">
            <v>Need</v>
          </cell>
          <cell r="I280">
            <v>1679</v>
          </cell>
        </row>
        <row r="281">
          <cell r="A281" t="str">
            <v>TX0280</v>
          </cell>
          <cell r="B281">
            <v>46185</v>
          </cell>
          <cell r="C281">
            <v>46174</v>
          </cell>
          <cell r="H281" t="str">
            <v>Want</v>
          </cell>
          <cell r="I281">
            <v>242</v>
          </cell>
        </row>
        <row r="282">
          <cell r="A282" t="str">
            <v>TX0281</v>
          </cell>
          <cell r="B282">
            <v>46186</v>
          </cell>
          <cell r="C282">
            <v>46174</v>
          </cell>
          <cell r="H282" t="str">
            <v>Want</v>
          </cell>
          <cell r="I282">
            <v>654</v>
          </cell>
        </row>
        <row r="283">
          <cell r="A283" t="str">
            <v>TX0282</v>
          </cell>
          <cell r="B283">
            <v>46188</v>
          </cell>
          <cell r="C283">
            <v>46174</v>
          </cell>
          <cell r="H283" t="str">
            <v>Need</v>
          </cell>
          <cell r="I283">
            <v>733</v>
          </cell>
        </row>
        <row r="284">
          <cell r="A284" t="str">
            <v>TX0283</v>
          </cell>
          <cell r="B284">
            <v>46191</v>
          </cell>
          <cell r="C284">
            <v>46174</v>
          </cell>
          <cell r="H284" t="str">
            <v>Want</v>
          </cell>
          <cell r="I284">
            <v>1962</v>
          </cell>
        </row>
        <row r="285">
          <cell r="A285" t="str">
            <v>TX0284</v>
          </cell>
          <cell r="B285">
            <v>46192</v>
          </cell>
          <cell r="C285">
            <v>46174</v>
          </cell>
          <cell r="H285" t="str">
            <v>Need</v>
          </cell>
          <cell r="I285">
            <v>562</v>
          </cell>
        </row>
        <row r="286">
          <cell r="A286" t="str">
            <v>TX0285</v>
          </cell>
          <cell r="B286">
            <v>46193</v>
          </cell>
          <cell r="C286">
            <v>46174</v>
          </cell>
          <cell r="H286" t="str">
            <v>Need</v>
          </cell>
          <cell r="I286">
            <v>1093</v>
          </cell>
        </row>
        <row r="287">
          <cell r="A287" t="str">
            <v>TX0286</v>
          </cell>
          <cell r="B287">
            <v>46195</v>
          </cell>
          <cell r="C287">
            <v>46174</v>
          </cell>
          <cell r="H287" t="str">
            <v>Need</v>
          </cell>
          <cell r="I287">
            <v>522</v>
          </cell>
        </row>
        <row r="288">
          <cell r="A288" t="str">
            <v>TX0287</v>
          </cell>
          <cell r="B288">
            <v>46195</v>
          </cell>
          <cell r="C288">
            <v>46174</v>
          </cell>
          <cell r="H288" t="str">
            <v>Need</v>
          </cell>
          <cell r="I288">
            <v>635</v>
          </cell>
        </row>
        <row r="289">
          <cell r="A289" t="str">
            <v>TX0288</v>
          </cell>
          <cell r="B289">
            <v>46197</v>
          </cell>
          <cell r="C289">
            <v>46174</v>
          </cell>
          <cell r="H289" t="str">
            <v>Need</v>
          </cell>
          <cell r="I289">
            <v>1625</v>
          </cell>
        </row>
        <row r="290">
          <cell r="A290" t="str">
            <v>TX0289</v>
          </cell>
          <cell r="B290">
            <v>46197</v>
          </cell>
          <cell r="C290">
            <v>46174</v>
          </cell>
          <cell r="H290" t="str">
            <v>Want</v>
          </cell>
          <cell r="I290">
            <v>296</v>
          </cell>
        </row>
        <row r="291">
          <cell r="A291" t="str">
            <v>TX0290</v>
          </cell>
          <cell r="B291">
            <v>46197</v>
          </cell>
          <cell r="C291">
            <v>46174</v>
          </cell>
          <cell r="H291" t="str">
            <v>Need</v>
          </cell>
          <cell r="I291">
            <v>1191</v>
          </cell>
        </row>
        <row r="292">
          <cell r="A292" t="str">
            <v>TX0291</v>
          </cell>
          <cell r="B292">
            <v>46197</v>
          </cell>
          <cell r="C292">
            <v>46174</v>
          </cell>
          <cell r="H292" t="str">
            <v>Need</v>
          </cell>
          <cell r="I292">
            <v>467</v>
          </cell>
        </row>
        <row r="293">
          <cell r="A293" t="str">
            <v>TX0292</v>
          </cell>
          <cell r="B293">
            <v>46197</v>
          </cell>
          <cell r="C293">
            <v>46174</v>
          </cell>
          <cell r="H293" t="str">
            <v>Want</v>
          </cell>
          <cell r="I293">
            <v>2532</v>
          </cell>
        </row>
        <row r="294">
          <cell r="A294" t="str">
            <v>TX0293</v>
          </cell>
          <cell r="B294">
            <v>46197</v>
          </cell>
          <cell r="C294">
            <v>46174</v>
          </cell>
          <cell r="H294" t="str">
            <v>Need</v>
          </cell>
          <cell r="I294">
            <v>294</v>
          </cell>
        </row>
        <row r="295">
          <cell r="A295" t="str">
            <v>TX0294</v>
          </cell>
          <cell r="B295">
            <v>46197</v>
          </cell>
          <cell r="C295">
            <v>46174</v>
          </cell>
          <cell r="H295" t="str">
            <v>Need</v>
          </cell>
          <cell r="I295">
            <v>737</v>
          </cell>
        </row>
        <row r="296">
          <cell r="A296" t="str">
            <v>TX0295</v>
          </cell>
          <cell r="B296">
            <v>46198</v>
          </cell>
          <cell r="C296">
            <v>46174</v>
          </cell>
          <cell r="H296" t="str">
            <v>Want</v>
          </cell>
          <cell r="I296">
            <v>1042</v>
          </cell>
        </row>
        <row r="297">
          <cell r="A297" t="str">
            <v>TX0296</v>
          </cell>
          <cell r="B297">
            <v>46198</v>
          </cell>
          <cell r="C297">
            <v>46174</v>
          </cell>
          <cell r="H297" t="str">
            <v>Need</v>
          </cell>
          <cell r="I297">
            <v>767</v>
          </cell>
        </row>
        <row r="298">
          <cell r="A298" t="str">
            <v>TX0297</v>
          </cell>
          <cell r="B298">
            <v>46200</v>
          </cell>
          <cell r="C298">
            <v>46174</v>
          </cell>
          <cell r="H298" t="str">
            <v>Want</v>
          </cell>
          <cell r="I298">
            <v>877</v>
          </cell>
        </row>
        <row r="299">
          <cell r="A299" t="str">
            <v>TX0298</v>
          </cell>
          <cell r="B299">
            <v>46201</v>
          </cell>
          <cell r="C299">
            <v>46174</v>
          </cell>
          <cell r="H299" t="str">
            <v>Want</v>
          </cell>
          <cell r="I299">
            <v>285</v>
          </cell>
        </row>
        <row r="300">
          <cell r="A300" t="str">
            <v>TX0299</v>
          </cell>
          <cell r="B300">
            <v>46201</v>
          </cell>
          <cell r="C300">
            <v>46174</v>
          </cell>
          <cell r="H300" t="str">
            <v>Want</v>
          </cell>
          <cell r="I300">
            <v>1111</v>
          </cell>
        </row>
        <row r="301">
          <cell r="A301" t="str">
            <v>TX0300</v>
          </cell>
          <cell r="B301">
            <v>46202</v>
          </cell>
          <cell r="C301">
            <v>46174</v>
          </cell>
          <cell r="H301" t="str">
            <v>Want</v>
          </cell>
          <cell r="I301">
            <v>1088</v>
          </cell>
        </row>
        <row r="302">
          <cell r="A302" t="str">
            <v>TX0301</v>
          </cell>
          <cell r="B302">
            <v>46203</v>
          </cell>
          <cell r="C302">
            <v>46174</v>
          </cell>
          <cell r="H302" t="str">
            <v>Need</v>
          </cell>
          <cell r="I302">
            <v>380</v>
          </cell>
        </row>
        <row r="303">
          <cell r="A303" t="str">
            <v>TX0302</v>
          </cell>
          <cell r="B303">
            <v>46203</v>
          </cell>
          <cell r="C303">
            <v>46174</v>
          </cell>
          <cell r="H303" t="str">
            <v>Need</v>
          </cell>
          <cell r="I303">
            <v>565</v>
          </cell>
        </row>
        <row r="304">
          <cell r="A304" t="str">
            <v>TX0303</v>
          </cell>
          <cell r="B304">
            <v>46203</v>
          </cell>
          <cell r="C304">
            <v>46174</v>
          </cell>
          <cell r="H304" t="str">
            <v>Need</v>
          </cell>
          <cell r="I304">
            <v>254</v>
          </cell>
        </row>
        <row r="305">
          <cell r="A305" t="str">
            <v>TX0304</v>
          </cell>
          <cell r="B305">
            <v>46204</v>
          </cell>
          <cell r="C305">
            <v>46204</v>
          </cell>
          <cell r="H305" t="str">
            <v>Need</v>
          </cell>
          <cell r="I305">
            <v>1058</v>
          </cell>
        </row>
        <row r="306">
          <cell r="A306" t="str">
            <v>TX0305</v>
          </cell>
          <cell r="B306">
            <v>46206</v>
          </cell>
          <cell r="C306">
            <v>46204</v>
          </cell>
          <cell r="H306" t="str">
            <v>Want</v>
          </cell>
          <cell r="I306">
            <v>201</v>
          </cell>
        </row>
        <row r="307">
          <cell r="A307" t="str">
            <v>TX0306</v>
          </cell>
          <cell r="B307">
            <v>46206</v>
          </cell>
          <cell r="C307">
            <v>46204</v>
          </cell>
          <cell r="H307" t="str">
            <v>Need</v>
          </cell>
          <cell r="I307">
            <v>1132</v>
          </cell>
        </row>
        <row r="308">
          <cell r="A308" t="str">
            <v>TX0307</v>
          </cell>
          <cell r="B308">
            <v>46206</v>
          </cell>
          <cell r="C308">
            <v>46204</v>
          </cell>
          <cell r="H308" t="str">
            <v>Need</v>
          </cell>
          <cell r="I308">
            <v>2087</v>
          </cell>
        </row>
        <row r="309">
          <cell r="A309" t="str">
            <v>TX0308</v>
          </cell>
          <cell r="B309">
            <v>46206</v>
          </cell>
          <cell r="C309">
            <v>46204</v>
          </cell>
          <cell r="H309" t="str">
            <v>Need</v>
          </cell>
          <cell r="I309">
            <v>1057</v>
          </cell>
        </row>
        <row r="310">
          <cell r="A310" t="str">
            <v>TX0309</v>
          </cell>
          <cell r="B310">
            <v>46207</v>
          </cell>
          <cell r="C310">
            <v>46204</v>
          </cell>
          <cell r="H310" t="str">
            <v>Need</v>
          </cell>
          <cell r="I310">
            <v>886</v>
          </cell>
        </row>
        <row r="311">
          <cell r="A311" t="str">
            <v>TX0310</v>
          </cell>
          <cell r="B311">
            <v>46207</v>
          </cell>
          <cell r="C311">
            <v>46204</v>
          </cell>
          <cell r="H311" t="str">
            <v>Need</v>
          </cell>
          <cell r="I311">
            <v>8500</v>
          </cell>
        </row>
        <row r="312">
          <cell r="A312" t="str">
            <v>TX0311</v>
          </cell>
          <cell r="B312">
            <v>46207</v>
          </cell>
          <cell r="C312">
            <v>46204</v>
          </cell>
          <cell r="H312" t="str">
            <v>Want</v>
          </cell>
          <cell r="I312">
            <v>4726</v>
          </cell>
        </row>
        <row r="313">
          <cell r="A313" t="str">
            <v>TX0312</v>
          </cell>
          <cell r="B313">
            <v>46208</v>
          </cell>
          <cell r="C313">
            <v>46204</v>
          </cell>
          <cell r="H313" t="str">
            <v>Need</v>
          </cell>
          <cell r="I313">
            <v>1275</v>
          </cell>
        </row>
        <row r="314">
          <cell r="A314" t="str">
            <v>TX0313</v>
          </cell>
          <cell r="B314">
            <v>46209</v>
          </cell>
          <cell r="C314">
            <v>46204</v>
          </cell>
          <cell r="H314" t="str">
            <v>Want</v>
          </cell>
          <cell r="I314">
            <v>523</v>
          </cell>
        </row>
        <row r="315">
          <cell r="A315" t="str">
            <v>TX0314</v>
          </cell>
          <cell r="B315">
            <v>46209</v>
          </cell>
          <cell r="C315">
            <v>46204</v>
          </cell>
          <cell r="H315" t="str">
            <v>Want</v>
          </cell>
          <cell r="I315">
            <v>445</v>
          </cell>
        </row>
        <row r="316">
          <cell r="A316" t="str">
            <v>TX0315</v>
          </cell>
          <cell r="B316">
            <v>46209</v>
          </cell>
          <cell r="C316">
            <v>46204</v>
          </cell>
          <cell r="H316" t="str">
            <v>Want</v>
          </cell>
          <cell r="I316">
            <v>254</v>
          </cell>
        </row>
        <row r="317">
          <cell r="A317" t="str">
            <v>TX0316</v>
          </cell>
          <cell r="B317">
            <v>46210</v>
          </cell>
          <cell r="C317">
            <v>46204</v>
          </cell>
          <cell r="H317" t="str">
            <v>Want</v>
          </cell>
          <cell r="I317">
            <v>163</v>
          </cell>
        </row>
        <row r="318">
          <cell r="A318" t="str">
            <v>TX0317</v>
          </cell>
          <cell r="B318">
            <v>46211</v>
          </cell>
          <cell r="C318">
            <v>46204</v>
          </cell>
          <cell r="H318" t="str">
            <v>Need</v>
          </cell>
          <cell r="I318">
            <v>226</v>
          </cell>
        </row>
        <row r="319">
          <cell r="A319" t="str">
            <v>TX0318</v>
          </cell>
          <cell r="B319">
            <v>46211</v>
          </cell>
          <cell r="C319">
            <v>46204</v>
          </cell>
          <cell r="H319" t="str">
            <v>Want</v>
          </cell>
          <cell r="I319">
            <v>4685</v>
          </cell>
        </row>
        <row r="320">
          <cell r="A320" t="str">
            <v>TX0319</v>
          </cell>
          <cell r="B320">
            <v>46212</v>
          </cell>
          <cell r="C320">
            <v>46204</v>
          </cell>
          <cell r="H320" t="str">
            <v>Want</v>
          </cell>
          <cell r="I320">
            <v>843</v>
          </cell>
        </row>
        <row r="321">
          <cell r="A321" t="str">
            <v>TX0320</v>
          </cell>
          <cell r="B321">
            <v>46212</v>
          </cell>
          <cell r="C321">
            <v>46204</v>
          </cell>
          <cell r="H321" t="str">
            <v>Want</v>
          </cell>
          <cell r="I321">
            <v>354</v>
          </cell>
        </row>
        <row r="322">
          <cell r="A322" t="str">
            <v>TX0321</v>
          </cell>
          <cell r="B322">
            <v>46212</v>
          </cell>
          <cell r="C322">
            <v>46204</v>
          </cell>
          <cell r="H322" t="str">
            <v>Need</v>
          </cell>
          <cell r="I322">
            <v>506</v>
          </cell>
        </row>
        <row r="323">
          <cell r="A323" t="str">
            <v>TX0322</v>
          </cell>
          <cell r="B323">
            <v>46213</v>
          </cell>
          <cell r="C323">
            <v>46204</v>
          </cell>
          <cell r="H323" t="str">
            <v>Want</v>
          </cell>
          <cell r="I323">
            <v>1666</v>
          </cell>
        </row>
        <row r="324">
          <cell r="A324" t="str">
            <v>TX0323</v>
          </cell>
          <cell r="B324">
            <v>46214</v>
          </cell>
          <cell r="C324">
            <v>46204</v>
          </cell>
          <cell r="H324" t="str">
            <v>Need</v>
          </cell>
          <cell r="I324">
            <v>450</v>
          </cell>
        </row>
        <row r="325">
          <cell r="A325" t="str">
            <v>TX0324</v>
          </cell>
          <cell r="B325">
            <v>46215</v>
          </cell>
          <cell r="C325">
            <v>46204</v>
          </cell>
          <cell r="H325" t="str">
            <v>Want</v>
          </cell>
          <cell r="I325">
            <v>323</v>
          </cell>
        </row>
        <row r="326">
          <cell r="A326" t="str">
            <v>TX0325</v>
          </cell>
          <cell r="B326">
            <v>46219</v>
          </cell>
          <cell r="C326">
            <v>46204</v>
          </cell>
          <cell r="H326" t="str">
            <v>Want</v>
          </cell>
          <cell r="I326">
            <v>706</v>
          </cell>
        </row>
        <row r="327">
          <cell r="A327" t="str">
            <v>TX0326</v>
          </cell>
          <cell r="B327">
            <v>46220</v>
          </cell>
          <cell r="C327">
            <v>46204</v>
          </cell>
          <cell r="H327" t="str">
            <v>Want</v>
          </cell>
          <cell r="I327">
            <v>2123</v>
          </cell>
        </row>
        <row r="328">
          <cell r="A328" t="str">
            <v>TX0327</v>
          </cell>
          <cell r="B328">
            <v>46221</v>
          </cell>
          <cell r="C328">
            <v>46204</v>
          </cell>
          <cell r="H328" t="str">
            <v>Need</v>
          </cell>
          <cell r="I328">
            <v>560</v>
          </cell>
        </row>
        <row r="329">
          <cell r="A329" t="str">
            <v>TX0328</v>
          </cell>
          <cell r="B329">
            <v>46223</v>
          </cell>
          <cell r="C329">
            <v>46204</v>
          </cell>
          <cell r="H329" t="str">
            <v>Want</v>
          </cell>
          <cell r="I329">
            <v>621</v>
          </cell>
        </row>
        <row r="330">
          <cell r="A330" t="str">
            <v>TX0329</v>
          </cell>
          <cell r="B330">
            <v>46227</v>
          </cell>
          <cell r="C330">
            <v>46204</v>
          </cell>
          <cell r="H330" t="str">
            <v>Want</v>
          </cell>
          <cell r="I330">
            <v>132</v>
          </cell>
        </row>
        <row r="331">
          <cell r="A331" t="str">
            <v>TX0330</v>
          </cell>
          <cell r="B331">
            <v>46227</v>
          </cell>
          <cell r="C331">
            <v>46204</v>
          </cell>
          <cell r="H331" t="str">
            <v>Want</v>
          </cell>
          <cell r="I331">
            <v>222</v>
          </cell>
        </row>
        <row r="332">
          <cell r="A332" t="str">
            <v>TX0331</v>
          </cell>
          <cell r="B332">
            <v>46227</v>
          </cell>
          <cell r="C332">
            <v>46204</v>
          </cell>
          <cell r="H332" t="str">
            <v>Want</v>
          </cell>
          <cell r="I332">
            <v>395</v>
          </cell>
        </row>
        <row r="333">
          <cell r="A333" t="str">
            <v>TX0332</v>
          </cell>
          <cell r="B333">
            <v>46228</v>
          </cell>
          <cell r="C333">
            <v>46204</v>
          </cell>
          <cell r="H333" t="str">
            <v>Need</v>
          </cell>
          <cell r="I333">
            <v>1402</v>
          </cell>
        </row>
        <row r="334">
          <cell r="A334" t="str">
            <v>TX0333</v>
          </cell>
          <cell r="B334">
            <v>46228</v>
          </cell>
          <cell r="C334">
            <v>46204</v>
          </cell>
          <cell r="H334" t="str">
            <v>Want</v>
          </cell>
          <cell r="I334">
            <v>193</v>
          </cell>
        </row>
        <row r="335">
          <cell r="A335" t="str">
            <v>TX0334</v>
          </cell>
          <cell r="B335">
            <v>46229</v>
          </cell>
          <cell r="C335">
            <v>46204</v>
          </cell>
          <cell r="H335" t="str">
            <v>Want</v>
          </cell>
          <cell r="I335">
            <v>254</v>
          </cell>
        </row>
        <row r="336">
          <cell r="A336" t="str">
            <v>TX0335</v>
          </cell>
          <cell r="B336">
            <v>46230</v>
          </cell>
          <cell r="C336">
            <v>46204</v>
          </cell>
          <cell r="H336" t="str">
            <v>Need</v>
          </cell>
          <cell r="I336">
            <v>53</v>
          </cell>
        </row>
        <row r="337">
          <cell r="A337" t="str">
            <v>TX0336</v>
          </cell>
          <cell r="B337">
            <v>46231</v>
          </cell>
          <cell r="C337">
            <v>46204</v>
          </cell>
          <cell r="H337" t="str">
            <v>Need</v>
          </cell>
          <cell r="I337">
            <v>2077</v>
          </cell>
        </row>
        <row r="338">
          <cell r="A338" t="str">
            <v>TX0337</v>
          </cell>
          <cell r="B338">
            <v>46232</v>
          </cell>
          <cell r="C338">
            <v>46204</v>
          </cell>
          <cell r="H338" t="str">
            <v>Need</v>
          </cell>
          <cell r="I338">
            <v>1225</v>
          </cell>
        </row>
        <row r="339">
          <cell r="A339" t="str">
            <v>TX0338</v>
          </cell>
          <cell r="B339">
            <v>46233</v>
          </cell>
          <cell r="C339">
            <v>46204</v>
          </cell>
          <cell r="H339" t="str">
            <v>Want</v>
          </cell>
          <cell r="I339">
            <v>264</v>
          </cell>
        </row>
        <row r="340">
          <cell r="A340" t="str">
            <v>TX0339</v>
          </cell>
          <cell r="B340">
            <v>46233</v>
          </cell>
          <cell r="C340">
            <v>46204</v>
          </cell>
          <cell r="H340" t="str">
            <v>Want</v>
          </cell>
          <cell r="I340">
            <v>580</v>
          </cell>
        </row>
        <row r="341">
          <cell r="A341" t="str">
            <v>TX0340</v>
          </cell>
          <cell r="B341">
            <v>46233</v>
          </cell>
          <cell r="C341">
            <v>46204</v>
          </cell>
          <cell r="H341" t="str">
            <v>Want</v>
          </cell>
          <cell r="I341">
            <v>863</v>
          </cell>
        </row>
        <row r="342">
          <cell r="A342" t="str">
            <v>TX0341</v>
          </cell>
          <cell r="B342">
            <v>46235</v>
          </cell>
          <cell r="C342">
            <v>46235</v>
          </cell>
          <cell r="H342" t="str">
            <v>Need</v>
          </cell>
          <cell r="I342">
            <v>1637</v>
          </cell>
        </row>
        <row r="343">
          <cell r="A343" t="str">
            <v>TX0342</v>
          </cell>
          <cell r="B343">
            <v>46238</v>
          </cell>
          <cell r="C343">
            <v>46235</v>
          </cell>
          <cell r="H343" t="str">
            <v>Need</v>
          </cell>
          <cell r="I343">
            <v>908</v>
          </cell>
        </row>
        <row r="344">
          <cell r="A344" t="str">
            <v>TX0343</v>
          </cell>
          <cell r="B344">
            <v>46238</v>
          </cell>
          <cell r="C344">
            <v>46235</v>
          </cell>
          <cell r="H344" t="str">
            <v>Want</v>
          </cell>
          <cell r="I344">
            <v>637</v>
          </cell>
        </row>
        <row r="345">
          <cell r="A345" t="str">
            <v>TX0344</v>
          </cell>
          <cell r="B345">
            <v>46239</v>
          </cell>
          <cell r="C345">
            <v>46235</v>
          </cell>
          <cell r="H345" t="str">
            <v>Want</v>
          </cell>
          <cell r="I345">
            <v>748</v>
          </cell>
        </row>
        <row r="346">
          <cell r="A346" t="str">
            <v>TX0345</v>
          </cell>
          <cell r="B346">
            <v>46239</v>
          </cell>
          <cell r="C346">
            <v>46235</v>
          </cell>
          <cell r="H346" t="str">
            <v>Need</v>
          </cell>
          <cell r="I346">
            <v>8500</v>
          </cell>
        </row>
        <row r="347">
          <cell r="A347" t="str">
            <v>TX0346</v>
          </cell>
          <cell r="B347">
            <v>46240</v>
          </cell>
          <cell r="C347">
            <v>46235</v>
          </cell>
          <cell r="H347" t="str">
            <v>Want</v>
          </cell>
          <cell r="I347">
            <v>965</v>
          </cell>
        </row>
        <row r="348">
          <cell r="A348" t="str">
            <v>TX0347</v>
          </cell>
          <cell r="B348">
            <v>46240</v>
          </cell>
          <cell r="C348">
            <v>46235</v>
          </cell>
          <cell r="H348" t="str">
            <v>Need</v>
          </cell>
          <cell r="I348">
            <v>1054</v>
          </cell>
        </row>
        <row r="349">
          <cell r="A349" t="str">
            <v>TX0348</v>
          </cell>
          <cell r="B349">
            <v>46241</v>
          </cell>
          <cell r="C349">
            <v>46235</v>
          </cell>
          <cell r="H349" t="str">
            <v>Want</v>
          </cell>
          <cell r="I349">
            <v>740</v>
          </cell>
        </row>
        <row r="350">
          <cell r="A350" t="str">
            <v>TX0349</v>
          </cell>
          <cell r="B350">
            <v>46242</v>
          </cell>
          <cell r="C350">
            <v>46235</v>
          </cell>
          <cell r="H350" t="str">
            <v>Want</v>
          </cell>
          <cell r="I350">
            <v>161</v>
          </cell>
        </row>
        <row r="351">
          <cell r="A351" t="str">
            <v>TX0350</v>
          </cell>
          <cell r="B351">
            <v>46243</v>
          </cell>
          <cell r="C351">
            <v>46235</v>
          </cell>
          <cell r="H351" t="str">
            <v>Want</v>
          </cell>
          <cell r="I351">
            <v>137</v>
          </cell>
        </row>
        <row r="352">
          <cell r="A352" t="str">
            <v>TX0351</v>
          </cell>
          <cell r="B352">
            <v>46244</v>
          </cell>
          <cell r="C352">
            <v>46235</v>
          </cell>
          <cell r="H352" t="str">
            <v>Want</v>
          </cell>
          <cell r="I352">
            <v>1089</v>
          </cell>
        </row>
        <row r="353">
          <cell r="A353" t="str">
            <v>TX0352</v>
          </cell>
          <cell r="B353">
            <v>46244</v>
          </cell>
          <cell r="C353">
            <v>46235</v>
          </cell>
          <cell r="H353" t="str">
            <v>Want</v>
          </cell>
          <cell r="I353">
            <v>1041</v>
          </cell>
        </row>
        <row r="354">
          <cell r="A354" t="str">
            <v>TX0353</v>
          </cell>
          <cell r="B354">
            <v>46244</v>
          </cell>
          <cell r="C354">
            <v>46235</v>
          </cell>
          <cell r="H354" t="str">
            <v>Want</v>
          </cell>
          <cell r="I354">
            <v>334</v>
          </cell>
        </row>
        <row r="355">
          <cell r="A355" t="str">
            <v>TX0354</v>
          </cell>
          <cell r="B355">
            <v>46244</v>
          </cell>
          <cell r="C355">
            <v>46235</v>
          </cell>
          <cell r="H355" t="str">
            <v>Want</v>
          </cell>
          <cell r="I355">
            <v>1225</v>
          </cell>
        </row>
        <row r="356">
          <cell r="A356" t="str">
            <v>TX0355</v>
          </cell>
          <cell r="B356">
            <v>46245</v>
          </cell>
          <cell r="C356">
            <v>46235</v>
          </cell>
          <cell r="H356" t="str">
            <v>Need</v>
          </cell>
          <cell r="I356">
            <v>1060</v>
          </cell>
        </row>
        <row r="357">
          <cell r="A357" t="str">
            <v>TX0356</v>
          </cell>
          <cell r="B357">
            <v>46246</v>
          </cell>
          <cell r="C357">
            <v>46235</v>
          </cell>
          <cell r="H357" t="str">
            <v>Want</v>
          </cell>
          <cell r="I357">
            <v>1180</v>
          </cell>
        </row>
        <row r="358">
          <cell r="A358" t="str">
            <v>TX0357</v>
          </cell>
          <cell r="B358">
            <v>46246</v>
          </cell>
          <cell r="C358">
            <v>46235</v>
          </cell>
          <cell r="H358" t="str">
            <v>Need</v>
          </cell>
          <cell r="I358">
            <v>500</v>
          </cell>
        </row>
        <row r="359">
          <cell r="A359" t="str">
            <v>TX0358</v>
          </cell>
          <cell r="B359">
            <v>46248</v>
          </cell>
          <cell r="C359">
            <v>46235</v>
          </cell>
          <cell r="H359" t="str">
            <v>Need</v>
          </cell>
          <cell r="I359">
            <v>629</v>
          </cell>
        </row>
        <row r="360">
          <cell r="A360" t="str">
            <v>TX0359</v>
          </cell>
          <cell r="B360">
            <v>46249</v>
          </cell>
          <cell r="C360">
            <v>46235</v>
          </cell>
          <cell r="H360" t="str">
            <v>Want</v>
          </cell>
          <cell r="I360">
            <v>1317</v>
          </cell>
        </row>
        <row r="361">
          <cell r="A361" t="str">
            <v>TX0360</v>
          </cell>
          <cell r="B361">
            <v>46249</v>
          </cell>
          <cell r="C361">
            <v>46235</v>
          </cell>
          <cell r="H361" t="str">
            <v>Want</v>
          </cell>
          <cell r="I361">
            <v>901</v>
          </cell>
        </row>
        <row r="362">
          <cell r="A362" t="str">
            <v>TX0361</v>
          </cell>
          <cell r="B362">
            <v>46249</v>
          </cell>
          <cell r="C362">
            <v>46235</v>
          </cell>
          <cell r="H362" t="str">
            <v>Want</v>
          </cell>
          <cell r="I362">
            <v>413</v>
          </cell>
        </row>
        <row r="363">
          <cell r="A363" t="str">
            <v>TX0362</v>
          </cell>
          <cell r="B363">
            <v>46250</v>
          </cell>
          <cell r="C363">
            <v>46235</v>
          </cell>
          <cell r="H363" t="str">
            <v>Want</v>
          </cell>
          <cell r="I363">
            <v>6024</v>
          </cell>
        </row>
        <row r="364">
          <cell r="A364" t="str">
            <v>TX0363</v>
          </cell>
          <cell r="B364">
            <v>46251</v>
          </cell>
          <cell r="C364">
            <v>46235</v>
          </cell>
          <cell r="H364" t="str">
            <v>Need</v>
          </cell>
          <cell r="I364">
            <v>499</v>
          </cell>
        </row>
        <row r="365">
          <cell r="A365" t="str">
            <v>TX0364</v>
          </cell>
          <cell r="B365">
            <v>46251</v>
          </cell>
          <cell r="C365">
            <v>46235</v>
          </cell>
          <cell r="H365" t="str">
            <v>Need</v>
          </cell>
          <cell r="I365">
            <v>118</v>
          </cell>
        </row>
        <row r="366">
          <cell r="A366" t="str">
            <v>TX0365</v>
          </cell>
          <cell r="B366">
            <v>46252</v>
          </cell>
          <cell r="C366">
            <v>46235</v>
          </cell>
          <cell r="H366" t="str">
            <v>Need</v>
          </cell>
          <cell r="I366">
            <v>460</v>
          </cell>
        </row>
        <row r="367">
          <cell r="A367" t="str">
            <v>TX0366</v>
          </cell>
          <cell r="B367">
            <v>46253</v>
          </cell>
          <cell r="C367">
            <v>46235</v>
          </cell>
          <cell r="H367" t="str">
            <v>Need</v>
          </cell>
          <cell r="I367">
            <v>1172</v>
          </cell>
        </row>
        <row r="368">
          <cell r="A368" t="str">
            <v>TX0367</v>
          </cell>
          <cell r="B368">
            <v>46253</v>
          </cell>
          <cell r="C368">
            <v>46235</v>
          </cell>
          <cell r="H368" t="str">
            <v>Want</v>
          </cell>
          <cell r="I368">
            <v>2443</v>
          </cell>
        </row>
        <row r="369">
          <cell r="A369" t="str">
            <v>TX0368</v>
          </cell>
          <cell r="B369">
            <v>46253</v>
          </cell>
          <cell r="C369">
            <v>46235</v>
          </cell>
          <cell r="H369" t="str">
            <v>Need</v>
          </cell>
          <cell r="I369">
            <v>1175</v>
          </cell>
        </row>
        <row r="370">
          <cell r="A370" t="str">
            <v>TX0369</v>
          </cell>
          <cell r="B370">
            <v>46254</v>
          </cell>
          <cell r="C370">
            <v>46235</v>
          </cell>
          <cell r="H370" t="str">
            <v>Want</v>
          </cell>
          <cell r="I370">
            <v>575</v>
          </cell>
        </row>
        <row r="371">
          <cell r="A371" t="str">
            <v>TX0370</v>
          </cell>
          <cell r="B371">
            <v>46255</v>
          </cell>
          <cell r="C371">
            <v>46235</v>
          </cell>
          <cell r="H371" t="str">
            <v>Want</v>
          </cell>
          <cell r="I371">
            <v>414</v>
          </cell>
        </row>
        <row r="372">
          <cell r="A372" t="str">
            <v>TX0371</v>
          </cell>
          <cell r="B372">
            <v>46255</v>
          </cell>
          <cell r="C372">
            <v>46235</v>
          </cell>
          <cell r="H372" t="str">
            <v>Need</v>
          </cell>
          <cell r="I372">
            <v>901</v>
          </cell>
        </row>
        <row r="373">
          <cell r="A373" t="str">
            <v>TX0372</v>
          </cell>
          <cell r="B373">
            <v>46255</v>
          </cell>
          <cell r="C373">
            <v>46235</v>
          </cell>
          <cell r="H373" t="str">
            <v>Need</v>
          </cell>
          <cell r="I373">
            <v>669</v>
          </cell>
        </row>
        <row r="374">
          <cell r="A374" t="str">
            <v>TX0373</v>
          </cell>
          <cell r="B374">
            <v>46255</v>
          </cell>
          <cell r="C374">
            <v>46235</v>
          </cell>
          <cell r="H374" t="str">
            <v>Want</v>
          </cell>
          <cell r="I374">
            <v>6295</v>
          </cell>
        </row>
        <row r="375">
          <cell r="A375" t="str">
            <v>TX0374</v>
          </cell>
          <cell r="B375">
            <v>46256</v>
          </cell>
          <cell r="C375">
            <v>46235</v>
          </cell>
          <cell r="H375" t="str">
            <v>Want</v>
          </cell>
          <cell r="I375">
            <v>852</v>
          </cell>
        </row>
        <row r="376">
          <cell r="A376" t="str">
            <v>TX0375</v>
          </cell>
          <cell r="B376">
            <v>46256</v>
          </cell>
          <cell r="C376">
            <v>46235</v>
          </cell>
          <cell r="H376" t="str">
            <v>Want</v>
          </cell>
          <cell r="I376">
            <v>4324</v>
          </cell>
        </row>
        <row r="377">
          <cell r="A377" t="str">
            <v>TX0376</v>
          </cell>
          <cell r="B377">
            <v>46259</v>
          </cell>
          <cell r="C377">
            <v>46235</v>
          </cell>
          <cell r="H377" t="str">
            <v>Want</v>
          </cell>
          <cell r="I377">
            <v>231</v>
          </cell>
        </row>
        <row r="378">
          <cell r="A378" t="str">
            <v>TX0377</v>
          </cell>
          <cell r="B378">
            <v>46260</v>
          </cell>
          <cell r="C378">
            <v>46235</v>
          </cell>
          <cell r="H378" t="str">
            <v>Need</v>
          </cell>
          <cell r="I378">
            <v>1134</v>
          </cell>
        </row>
        <row r="379">
          <cell r="A379" t="str">
            <v>TX0378</v>
          </cell>
          <cell r="B379">
            <v>46261</v>
          </cell>
          <cell r="C379">
            <v>46235</v>
          </cell>
          <cell r="H379" t="str">
            <v>Want</v>
          </cell>
          <cell r="I379">
            <v>986</v>
          </cell>
        </row>
        <row r="380">
          <cell r="A380" t="str">
            <v>TX0379</v>
          </cell>
          <cell r="B380">
            <v>46261</v>
          </cell>
          <cell r="C380">
            <v>46235</v>
          </cell>
          <cell r="H380" t="str">
            <v>Want</v>
          </cell>
          <cell r="I380">
            <v>707</v>
          </cell>
        </row>
        <row r="381">
          <cell r="A381" t="str">
            <v>TX0380</v>
          </cell>
          <cell r="B381">
            <v>46261</v>
          </cell>
          <cell r="C381">
            <v>46235</v>
          </cell>
          <cell r="H381" t="str">
            <v>Need</v>
          </cell>
          <cell r="I381">
            <v>1764</v>
          </cell>
        </row>
        <row r="382">
          <cell r="A382" t="str">
            <v>TX0381</v>
          </cell>
          <cell r="B382">
            <v>46261</v>
          </cell>
          <cell r="C382">
            <v>46235</v>
          </cell>
          <cell r="H382" t="str">
            <v>Want</v>
          </cell>
          <cell r="I382">
            <v>294</v>
          </cell>
        </row>
        <row r="383">
          <cell r="A383" t="str">
            <v>TX0382</v>
          </cell>
          <cell r="B383">
            <v>46261</v>
          </cell>
          <cell r="C383">
            <v>46235</v>
          </cell>
          <cell r="H383" t="str">
            <v>Need</v>
          </cell>
          <cell r="I383">
            <v>779</v>
          </cell>
        </row>
        <row r="384">
          <cell r="A384" t="str">
            <v>TX0383</v>
          </cell>
          <cell r="B384">
            <v>46262</v>
          </cell>
          <cell r="C384">
            <v>46235</v>
          </cell>
          <cell r="H384" t="str">
            <v>Want</v>
          </cell>
          <cell r="I384">
            <v>1532</v>
          </cell>
        </row>
        <row r="385">
          <cell r="A385" t="str">
            <v>TX0384</v>
          </cell>
          <cell r="B385">
            <v>46262</v>
          </cell>
          <cell r="C385">
            <v>46235</v>
          </cell>
          <cell r="H385" t="str">
            <v>Need</v>
          </cell>
          <cell r="I385">
            <v>883</v>
          </cell>
        </row>
        <row r="386">
          <cell r="A386" t="str">
            <v>TX0385</v>
          </cell>
          <cell r="B386">
            <v>46264</v>
          </cell>
          <cell r="C386">
            <v>46235</v>
          </cell>
          <cell r="H386" t="str">
            <v>Want</v>
          </cell>
          <cell r="I386">
            <v>864</v>
          </cell>
        </row>
        <row r="387">
          <cell r="A387" t="str">
            <v>TX0386</v>
          </cell>
          <cell r="B387">
            <v>46264</v>
          </cell>
          <cell r="C387">
            <v>46235</v>
          </cell>
          <cell r="H387" t="str">
            <v>Need</v>
          </cell>
          <cell r="I387">
            <v>1168</v>
          </cell>
        </row>
        <row r="388">
          <cell r="A388" t="str">
            <v>TX0387</v>
          </cell>
          <cell r="B388">
            <v>46266</v>
          </cell>
          <cell r="C388">
            <v>46266</v>
          </cell>
          <cell r="H388" t="str">
            <v>Want</v>
          </cell>
          <cell r="I388">
            <v>4536</v>
          </cell>
        </row>
        <row r="389">
          <cell r="A389" t="str">
            <v>TX0388</v>
          </cell>
          <cell r="B389">
            <v>46266</v>
          </cell>
          <cell r="C389">
            <v>46266</v>
          </cell>
          <cell r="H389" t="str">
            <v>Need</v>
          </cell>
          <cell r="I389">
            <v>509</v>
          </cell>
        </row>
        <row r="390">
          <cell r="A390" t="str">
            <v>TX0389</v>
          </cell>
          <cell r="B390">
            <v>46267</v>
          </cell>
          <cell r="C390">
            <v>46266</v>
          </cell>
          <cell r="H390" t="str">
            <v>Want</v>
          </cell>
          <cell r="I390">
            <v>5345</v>
          </cell>
        </row>
        <row r="391">
          <cell r="A391" t="str">
            <v>TX0390</v>
          </cell>
          <cell r="B391">
            <v>46268</v>
          </cell>
          <cell r="C391">
            <v>46266</v>
          </cell>
          <cell r="H391" t="str">
            <v>Want</v>
          </cell>
          <cell r="I391">
            <v>435</v>
          </cell>
        </row>
        <row r="392">
          <cell r="A392" t="str">
            <v>TX0391</v>
          </cell>
          <cell r="B392">
            <v>46268</v>
          </cell>
          <cell r="C392">
            <v>46266</v>
          </cell>
          <cell r="H392" t="str">
            <v>Need</v>
          </cell>
          <cell r="I392">
            <v>1431</v>
          </cell>
        </row>
        <row r="393">
          <cell r="A393" t="str">
            <v>TX0392</v>
          </cell>
          <cell r="B393">
            <v>46270</v>
          </cell>
          <cell r="C393">
            <v>46266</v>
          </cell>
          <cell r="H393" t="str">
            <v>Need</v>
          </cell>
          <cell r="I393">
            <v>8500</v>
          </cell>
        </row>
        <row r="394">
          <cell r="A394" t="str">
            <v>TX0393</v>
          </cell>
          <cell r="B394">
            <v>46270</v>
          </cell>
          <cell r="C394">
            <v>46266</v>
          </cell>
          <cell r="H394" t="str">
            <v>Want</v>
          </cell>
          <cell r="I394">
            <v>363</v>
          </cell>
        </row>
        <row r="395">
          <cell r="A395" t="str">
            <v>TX0394</v>
          </cell>
          <cell r="B395">
            <v>46273</v>
          </cell>
          <cell r="C395">
            <v>46266</v>
          </cell>
          <cell r="H395" t="str">
            <v>Need</v>
          </cell>
          <cell r="I395">
            <v>558</v>
          </cell>
        </row>
        <row r="396">
          <cell r="A396" t="str">
            <v>TX0395</v>
          </cell>
          <cell r="B396">
            <v>46274</v>
          </cell>
          <cell r="C396">
            <v>46266</v>
          </cell>
          <cell r="H396" t="str">
            <v>Need</v>
          </cell>
          <cell r="I396">
            <v>694</v>
          </cell>
        </row>
        <row r="397">
          <cell r="A397" t="str">
            <v>TX0396</v>
          </cell>
          <cell r="B397">
            <v>46277</v>
          </cell>
          <cell r="C397">
            <v>46266</v>
          </cell>
          <cell r="H397" t="str">
            <v>Want</v>
          </cell>
          <cell r="I397">
            <v>5316</v>
          </cell>
        </row>
        <row r="398">
          <cell r="A398" t="str">
            <v>TX0397</v>
          </cell>
          <cell r="B398">
            <v>46278</v>
          </cell>
          <cell r="C398">
            <v>46266</v>
          </cell>
          <cell r="H398" t="str">
            <v>Want</v>
          </cell>
          <cell r="I398">
            <v>391</v>
          </cell>
        </row>
        <row r="399">
          <cell r="A399" t="str">
            <v>TX0398</v>
          </cell>
          <cell r="B399">
            <v>46278</v>
          </cell>
          <cell r="C399">
            <v>46266</v>
          </cell>
          <cell r="H399" t="str">
            <v>Want</v>
          </cell>
          <cell r="I399">
            <v>218</v>
          </cell>
        </row>
        <row r="400">
          <cell r="A400" t="str">
            <v>TX0399</v>
          </cell>
          <cell r="B400">
            <v>46278</v>
          </cell>
          <cell r="C400">
            <v>46266</v>
          </cell>
          <cell r="H400" t="str">
            <v>Need</v>
          </cell>
          <cell r="I400">
            <v>370</v>
          </cell>
        </row>
        <row r="401">
          <cell r="A401" t="str">
            <v>TX0400</v>
          </cell>
          <cell r="B401">
            <v>46279</v>
          </cell>
          <cell r="C401">
            <v>46266</v>
          </cell>
          <cell r="H401" t="str">
            <v>Want</v>
          </cell>
          <cell r="I401">
            <v>716</v>
          </cell>
        </row>
        <row r="402">
          <cell r="A402" t="str">
            <v>TX0401</v>
          </cell>
          <cell r="B402">
            <v>46279</v>
          </cell>
          <cell r="C402">
            <v>46266</v>
          </cell>
          <cell r="H402" t="str">
            <v>Need</v>
          </cell>
          <cell r="I402">
            <v>677</v>
          </cell>
        </row>
        <row r="403">
          <cell r="A403" t="str">
            <v>TX0402</v>
          </cell>
          <cell r="B403">
            <v>46279</v>
          </cell>
          <cell r="C403">
            <v>46266</v>
          </cell>
          <cell r="H403" t="str">
            <v>Want</v>
          </cell>
          <cell r="I403">
            <v>4682</v>
          </cell>
        </row>
        <row r="404">
          <cell r="A404" t="str">
            <v>TX0403</v>
          </cell>
          <cell r="B404">
            <v>46280</v>
          </cell>
          <cell r="C404">
            <v>46266</v>
          </cell>
          <cell r="H404" t="str">
            <v>Want</v>
          </cell>
          <cell r="I404">
            <v>1194</v>
          </cell>
        </row>
        <row r="405">
          <cell r="A405" t="str">
            <v>TX0404</v>
          </cell>
          <cell r="B405">
            <v>46280</v>
          </cell>
          <cell r="C405">
            <v>46266</v>
          </cell>
          <cell r="H405" t="str">
            <v>Want</v>
          </cell>
          <cell r="I405">
            <v>2617</v>
          </cell>
        </row>
        <row r="406">
          <cell r="A406" t="str">
            <v>TX0405</v>
          </cell>
          <cell r="B406">
            <v>46280</v>
          </cell>
          <cell r="C406">
            <v>46266</v>
          </cell>
          <cell r="H406" t="str">
            <v>Need</v>
          </cell>
          <cell r="I406">
            <v>1027</v>
          </cell>
        </row>
        <row r="407">
          <cell r="A407" t="str">
            <v>TX0406</v>
          </cell>
          <cell r="B407">
            <v>46280</v>
          </cell>
          <cell r="C407">
            <v>46266</v>
          </cell>
          <cell r="H407" t="str">
            <v>Need</v>
          </cell>
          <cell r="I407">
            <v>1293</v>
          </cell>
        </row>
        <row r="408">
          <cell r="A408" t="str">
            <v>TX0407</v>
          </cell>
          <cell r="B408">
            <v>46281</v>
          </cell>
          <cell r="C408">
            <v>46266</v>
          </cell>
          <cell r="H408" t="str">
            <v>Want</v>
          </cell>
          <cell r="I408">
            <v>127</v>
          </cell>
        </row>
        <row r="409">
          <cell r="A409" t="str">
            <v>TX0408</v>
          </cell>
          <cell r="B409">
            <v>46282</v>
          </cell>
          <cell r="C409">
            <v>46266</v>
          </cell>
          <cell r="H409" t="str">
            <v>Want</v>
          </cell>
          <cell r="I409">
            <v>1320</v>
          </cell>
        </row>
        <row r="410">
          <cell r="A410" t="str">
            <v>TX0409</v>
          </cell>
          <cell r="B410">
            <v>46284</v>
          </cell>
          <cell r="C410">
            <v>46266</v>
          </cell>
          <cell r="H410" t="str">
            <v>Want</v>
          </cell>
          <cell r="I410">
            <v>448</v>
          </cell>
        </row>
        <row r="411">
          <cell r="A411" t="str">
            <v>TX0410</v>
          </cell>
          <cell r="B411">
            <v>46286</v>
          </cell>
          <cell r="C411">
            <v>46266</v>
          </cell>
          <cell r="H411" t="str">
            <v>Need</v>
          </cell>
          <cell r="I411">
            <v>1631</v>
          </cell>
        </row>
        <row r="412">
          <cell r="A412" t="str">
            <v>TX0411</v>
          </cell>
          <cell r="B412">
            <v>46286</v>
          </cell>
          <cell r="C412">
            <v>46266</v>
          </cell>
          <cell r="H412" t="str">
            <v>Need</v>
          </cell>
          <cell r="I412">
            <v>321</v>
          </cell>
        </row>
        <row r="413">
          <cell r="A413" t="str">
            <v>TX0412</v>
          </cell>
          <cell r="B413">
            <v>46287</v>
          </cell>
          <cell r="C413">
            <v>46266</v>
          </cell>
          <cell r="H413" t="str">
            <v>Need</v>
          </cell>
          <cell r="I413">
            <v>2449</v>
          </cell>
        </row>
        <row r="414">
          <cell r="A414" t="str">
            <v>TX0413</v>
          </cell>
          <cell r="B414">
            <v>46288</v>
          </cell>
          <cell r="C414">
            <v>46266</v>
          </cell>
          <cell r="H414" t="str">
            <v>Want</v>
          </cell>
          <cell r="I414">
            <v>319</v>
          </cell>
        </row>
        <row r="415">
          <cell r="A415" t="str">
            <v>TX0414</v>
          </cell>
          <cell r="B415">
            <v>46289</v>
          </cell>
          <cell r="C415">
            <v>46266</v>
          </cell>
          <cell r="H415" t="str">
            <v>Want</v>
          </cell>
          <cell r="I415">
            <v>178</v>
          </cell>
        </row>
        <row r="416">
          <cell r="A416" t="str">
            <v>TX0415</v>
          </cell>
          <cell r="B416">
            <v>46290</v>
          </cell>
          <cell r="C416">
            <v>46266</v>
          </cell>
          <cell r="H416" t="str">
            <v>Want</v>
          </cell>
          <cell r="I416">
            <v>429</v>
          </cell>
        </row>
        <row r="417">
          <cell r="A417" t="str">
            <v>TX0416</v>
          </cell>
          <cell r="B417">
            <v>46290</v>
          </cell>
          <cell r="C417">
            <v>46266</v>
          </cell>
          <cell r="H417" t="str">
            <v>Want</v>
          </cell>
          <cell r="I417">
            <v>930</v>
          </cell>
        </row>
        <row r="418">
          <cell r="A418" t="str">
            <v>TX0417</v>
          </cell>
          <cell r="B418">
            <v>46290</v>
          </cell>
          <cell r="C418">
            <v>46266</v>
          </cell>
          <cell r="H418" t="str">
            <v>Want</v>
          </cell>
          <cell r="I418">
            <v>378</v>
          </cell>
        </row>
        <row r="419">
          <cell r="A419" t="str">
            <v>TX0418</v>
          </cell>
          <cell r="B419">
            <v>46291</v>
          </cell>
          <cell r="C419">
            <v>46266</v>
          </cell>
          <cell r="H419" t="str">
            <v>Want</v>
          </cell>
          <cell r="I419">
            <v>1252</v>
          </cell>
        </row>
        <row r="420">
          <cell r="A420" t="str">
            <v>TX0419</v>
          </cell>
          <cell r="B420">
            <v>46294</v>
          </cell>
          <cell r="C420">
            <v>46266</v>
          </cell>
          <cell r="H420" t="str">
            <v>Want</v>
          </cell>
          <cell r="I420">
            <v>69</v>
          </cell>
        </row>
        <row r="421">
          <cell r="A421" t="str">
            <v>TX0420</v>
          </cell>
          <cell r="B421">
            <v>46295</v>
          </cell>
          <cell r="C421">
            <v>46266</v>
          </cell>
          <cell r="H421" t="str">
            <v>Want</v>
          </cell>
          <cell r="I421">
            <v>234</v>
          </cell>
        </row>
      </sheetData>
      <sheetData sheetId="1">
        <row r="10">
          <cell r="B10">
            <v>527098</v>
          </cell>
        </row>
        <row r="15">
          <cell r="B15">
            <v>660000</v>
          </cell>
        </row>
        <row r="16">
          <cell r="B16">
            <v>132902</v>
          </cell>
        </row>
        <row r="17">
          <cell r="B17">
            <v>0.20136666666666667</v>
          </cell>
        </row>
        <row r="18">
          <cell r="B18">
            <v>0.95488768115942024</v>
          </cell>
        </row>
        <row r="22">
          <cell r="A22" t="str">
            <v>Needs Spend</v>
          </cell>
          <cell r="B22">
            <v>268468</v>
          </cell>
        </row>
        <row r="23">
          <cell r="A23" t="str">
            <v>Wants Spend</v>
          </cell>
          <cell r="B23">
            <v>258630</v>
          </cell>
        </row>
        <row r="24">
          <cell r="B24">
            <v>0.50933223043912135</v>
          </cell>
        </row>
        <row r="25">
          <cell r="B25">
            <v>0.4906677695608786</v>
          </cell>
        </row>
        <row r="35">
          <cell r="K35" t="str">
            <v>Rent</v>
          </cell>
          <cell r="L35">
            <v>133523</v>
          </cell>
        </row>
        <row r="36">
          <cell r="K36" t="str">
            <v>Travel</v>
          </cell>
          <cell r="L36">
            <v>96509</v>
          </cell>
        </row>
        <row r="37">
          <cell r="K37" t="str">
            <v>Shopping</v>
          </cell>
          <cell r="L37">
            <v>92029</v>
          </cell>
        </row>
        <row r="38">
          <cell r="K38" t="str">
            <v>Food &amp; Dining</v>
          </cell>
          <cell r="L38">
            <v>70546</v>
          </cell>
        </row>
        <row r="39">
          <cell r="K39" t="str">
            <v>Health</v>
          </cell>
          <cell r="L39">
            <v>41729</v>
          </cell>
        </row>
        <row r="40">
          <cell r="K40" t="str">
            <v>Education</v>
          </cell>
          <cell r="L40">
            <v>35671</v>
          </cell>
        </row>
        <row r="41">
          <cell r="K41" t="str">
            <v>Utilities</v>
          </cell>
          <cell r="L41">
            <v>35310</v>
          </cell>
        </row>
        <row r="42">
          <cell r="K42" t="str">
            <v>Entertainment</v>
          </cell>
          <cell r="L42">
            <v>21781</v>
          </cell>
        </row>
        <row r="63">
          <cell r="A63" t="str">
            <v>UPI</v>
          </cell>
          <cell r="B63">
            <v>210878</v>
          </cell>
        </row>
        <row r="64">
          <cell r="A64" t="str">
            <v>Credit Card</v>
          </cell>
          <cell r="B64">
            <v>79775</v>
          </cell>
        </row>
        <row r="65">
          <cell r="A65" t="str">
            <v>Debit Card</v>
          </cell>
          <cell r="B65">
            <v>71766</v>
          </cell>
        </row>
        <row r="66">
          <cell r="A66" t="str">
            <v>Cash</v>
          </cell>
          <cell r="B66">
            <v>36035</v>
          </cell>
        </row>
        <row r="67">
          <cell r="A67" t="str">
            <v>Net Banking</v>
          </cell>
          <cell r="B67">
            <v>128644</v>
          </cell>
        </row>
        <row r="72">
          <cell r="H72" t="str">
            <v>House Rent</v>
          </cell>
          <cell r="I72">
            <v>102000</v>
          </cell>
        </row>
        <row r="73">
          <cell r="H73" t="str">
            <v>Trips</v>
          </cell>
          <cell r="I73">
            <v>76243</v>
          </cell>
        </row>
        <row r="74">
          <cell r="H74" t="str">
            <v>Electronics</v>
          </cell>
          <cell r="I74">
            <v>45807</v>
          </cell>
        </row>
        <row r="75">
          <cell r="H75" t="str">
            <v>Clothing</v>
          </cell>
          <cell r="I75">
            <v>29295</v>
          </cell>
        </row>
        <row r="76">
          <cell r="H76" t="str">
            <v>Groceries</v>
          </cell>
          <cell r="I76">
            <v>28611</v>
          </cell>
        </row>
        <row r="77">
          <cell r="H77" t="str">
            <v>Course Fees</v>
          </cell>
          <cell r="I77">
            <v>25028</v>
          </cell>
        </row>
        <row r="78">
          <cell r="H78" t="str">
            <v>Restaurants</v>
          </cell>
          <cell r="I78">
            <v>24136</v>
          </cell>
        </row>
        <row r="79">
          <cell r="H79" t="str">
            <v>Insurance</v>
          </cell>
          <cell r="I79">
            <v>20240</v>
          </cell>
        </row>
      </sheetData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A Rathika Priyanka" refreshedDate="46311.638521064815" createdVersion="8" refreshedVersion="8" minRefreshableVersion="3" recordCount="421" xr:uid="{A400B3B3-7F19-4724-A788-42843E8EB653}">
  <cacheSource type="worksheet">
    <worksheetSource ref="A1:I422" sheet="DATASET"/>
  </cacheSource>
  <cacheFields count="15">
    <cacheField name="Txn ID" numFmtId="0">
      <sharedItems containsBlank="1"/>
    </cacheField>
    <cacheField name="Date" numFmtId="0">
      <sharedItems containsNonDate="0" containsDate="1" containsString="0" containsBlank="1" minDate="2025-10-01T00:00:00" maxDate="2026-10-01T00:00:00" count="247">
        <d v="2025-10-01T00:00:00"/>
        <d v="2025-10-03T00:00:00"/>
        <d v="2025-10-04T00:00:00"/>
        <d v="2025-10-06T00:00:00"/>
        <d v="2025-10-08T00:00:00"/>
        <d v="2025-10-09T00:00:00"/>
        <d v="2025-10-10T00:00:00"/>
        <d v="2025-10-12T00:00:00"/>
        <d v="2025-10-14T00:00:00"/>
        <d v="2025-10-15T00:00:00"/>
        <d v="2025-10-17T00:00:00"/>
        <d v="2025-10-18T00:00:00"/>
        <d v="2025-10-19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30T00:00:00"/>
        <d v="2025-11-02T00:00:00"/>
        <d v="2025-11-03T00:00:00"/>
        <d v="2025-11-04T00:00:00"/>
        <d v="2025-11-05T00:00:00"/>
        <d v="2025-11-09T00:00:00"/>
        <d v="2025-11-15T00:00:00"/>
        <d v="2025-11-16T00:00:00"/>
        <d v="2025-11-17T00:00:00"/>
        <d v="2025-11-19T00:00:00"/>
        <d v="2025-11-20T00:00:00"/>
        <d v="2025-11-23T00:00:00"/>
        <d v="2025-11-24T00:00:00"/>
        <d v="2025-11-25T00:00:00"/>
        <d v="2025-11-26T00:00:00"/>
        <d v="2025-11-28T00:00:00"/>
        <d v="2025-11-30T00:00:00"/>
        <d v="2025-12-01T00:00:00"/>
        <d v="2025-12-02T00:00:00"/>
        <d v="2025-12-03T00:00:00"/>
        <d v="2025-12-05T00:00:00"/>
        <d v="2025-12-06T00:00:00"/>
        <d v="2025-12-07T00:00:00"/>
        <d v="2025-12-08T00:00:00"/>
        <d v="2025-12-09T00:00:00"/>
        <d v="2025-12-10T00:00:00"/>
        <d v="2025-12-15T00:00:00"/>
        <d v="2025-12-16T00:00:00"/>
        <d v="2025-12-19T00:00:00"/>
        <d v="2025-12-21T00:00:00"/>
        <d v="2025-12-23T00:00:00"/>
        <d v="2025-12-24T00:00:00"/>
        <d v="2025-12-26T00:00:00"/>
        <d v="2025-12-27T00:00:00"/>
        <d v="2025-12-29T00:00:00"/>
        <d v="2025-12-31T00:00:00"/>
        <d v="2026-01-01T00:00:00"/>
        <d v="2026-01-02T00:00:00"/>
        <d v="2026-01-04T00:00:00"/>
        <d v="2026-01-05T00:00:00"/>
        <d v="2026-01-06T00:00:00"/>
        <d v="2026-01-08T00:00:00"/>
        <d v="2026-01-09T00:00:00"/>
        <d v="2026-01-10T00:00:00"/>
        <d v="2026-01-11T00:00:00"/>
        <d v="2026-01-12T00:00:00"/>
        <d v="2026-01-17T00:00:00"/>
        <d v="2026-01-19T00:00:00"/>
        <d v="2026-01-20T00:00:00"/>
        <d v="2026-01-21T00:00:00"/>
        <d v="2026-01-26T00:00:00"/>
        <d v="2026-01-27T00:00:00"/>
        <d v="2026-01-28T00:00:00"/>
        <d v="2026-01-30T00:00:00"/>
        <d v="2026-01-31T00:00:00"/>
        <d v="2026-02-01T00:00:00"/>
        <d v="2026-02-02T00:00:00"/>
        <d v="2026-02-03T00:00:00"/>
        <d v="2026-02-05T00:00:00"/>
        <d v="2026-02-08T00:00:00"/>
        <d v="2026-02-09T00:00:00"/>
        <d v="2026-02-10T00:00:00"/>
        <d v="2026-02-12T00:00:00"/>
        <d v="2026-02-15T00:00:00"/>
        <d v="2026-02-16T00:00:00"/>
        <d v="2026-02-18T00:00:00"/>
        <d v="2026-02-19T00:00:00"/>
        <d v="2026-02-20T00:00:00"/>
        <d v="2026-02-21T00:00:00"/>
        <d v="2026-02-23T00:00:00"/>
        <d v="2026-02-24T00:00:00"/>
        <d v="2026-02-26T00:00:00"/>
        <d v="2026-02-27T00:00:00"/>
        <d v="2026-02-28T00:00:00"/>
        <d v="2026-03-01T00:00:00"/>
        <d v="2026-03-02T00:00:00"/>
        <d v="2026-03-03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4T00:00:00"/>
        <d v="2026-04-05T00:00:00"/>
        <d v="2026-04-08T00:00:00"/>
        <d v="2026-04-09T00:00:00"/>
        <d v="2026-04-10T00:00:00"/>
        <d v="2026-04-12T00:00:00"/>
        <d v="2026-04-13T00:00:00"/>
        <d v="2026-04-16T00:00:00"/>
        <d v="2026-04-17T00:00:00"/>
        <d v="2026-04-18T00:00:00"/>
        <d v="2026-04-20T00:00:00"/>
        <d v="2026-04-23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3T00:00:00"/>
        <d v="2026-05-04T00:00:00"/>
        <d v="2026-05-05T00:00:00"/>
        <d v="2026-05-06T00:00:00"/>
        <d v="2026-05-08T00:00:00"/>
        <d v="2026-05-09T00:00:00"/>
        <d v="2026-05-11T00:00:00"/>
        <d v="2026-05-12T00:00:00"/>
        <d v="2026-05-17T00:00:00"/>
        <d v="2026-05-18T00:00:00"/>
        <d v="2026-05-20T00:00:00"/>
        <d v="2026-05-21T00:00:00"/>
        <d v="2026-05-22T00:00:00"/>
        <d v="2026-05-23T00:00:00"/>
        <d v="2026-05-25T00:00:00"/>
        <d v="2026-05-26T00:00:00"/>
        <d v="2026-05-28T00:00:00"/>
        <d v="2026-05-29T00:00:00"/>
        <d v="2026-05-30T00:00:00"/>
        <d v="2026-05-31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2T00:00:00"/>
        <d v="2026-06-13T00:00:00"/>
        <d v="2026-06-15T00:00:00"/>
        <d v="2026-06-18T00:00:00"/>
        <d v="2026-06-19T00:00:00"/>
        <d v="2026-06-20T00:00:00"/>
        <d v="2026-06-22T00:00:00"/>
        <d v="2026-06-24T00:00:00"/>
        <d v="2026-06-25T00:00:00"/>
        <d v="2026-06-27T00:00:00"/>
        <d v="2026-06-28T00:00:00"/>
        <d v="2026-06-29T00:00:00"/>
        <d v="2026-06-30T00:00:00"/>
        <d v="2026-07-01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6T00:00:00"/>
        <d v="2026-07-17T00:00:00"/>
        <d v="2026-07-18T00:00:00"/>
        <d v="2026-07-20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8-01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5T00:00:00"/>
        <d v="2026-08-26T00:00:00"/>
        <d v="2026-08-27T00:00:00"/>
        <d v="2026-08-28T00:00:00"/>
        <d v="2026-08-30T00:00:00"/>
        <d v="2026-09-01T00:00:00"/>
        <d v="2026-09-02T00:00:00"/>
        <d v="2026-09-03T00:00:00"/>
        <d v="2026-09-05T00:00:00"/>
        <d v="2026-09-08T00:00:00"/>
        <d v="2026-09-09T00:00:00"/>
        <d v="2026-09-12T00:00:00"/>
        <d v="2026-09-13T00:00:00"/>
        <d v="2026-09-14T00:00:00"/>
        <d v="2026-09-15T00:00:00"/>
        <d v="2026-09-16T00:00:00"/>
        <d v="2026-09-17T00:00:00"/>
        <d v="2026-09-19T00:00:00"/>
        <d v="2026-09-21T00:00:00"/>
        <d v="2026-09-22T00:00:00"/>
        <d v="2026-09-23T00:00:00"/>
        <d v="2026-09-24T00:00:00"/>
        <d v="2026-09-25T00:00:00"/>
        <d v="2026-09-26T00:00:00"/>
        <d v="2026-09-29T00:00:00"/>
        <d v="2026-09-30T00:00:00"/>
        <m/>
      </sharedItems>
      <fieldGroup par="14"/>
    </cacheField>
    <cacheField name="Month" numFmtId="0">
      <sharedItems containsNonDate="0" containsDate="1" containsString="0" containsBlank="1" minDate="2025-10-01T00:00:00" maxDate="2026-09-02T00:00:00" count="13"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m/>
      </sharedItems>
      <fieldGroup par="11"/>
    </cacheField>
    <cacheField name="Category" numFmtId="0">
      <sharedItems containsBlank="1" count="9">
        <s v="Rent"/>
        <s v="Shopping"/>
        <s v="Travel"/>
        <s v="Food &amp; Dining"/>
        <s v="Health"/>
        <s v="Utilities"/>
        <s v="Education"/>
        <s v="Entertainment"/>
        <m/>
      </sharedItems>
    </cacheField>
    <cacheField name="Sub-Category" numFmtId="0">
      <sharedItems containsBlank="1" count="33">
        <s v="House Rent"/>
        <s v="Clothing"/>
        <s v="Bus/Train"/>
        <s v="Snacks &amp; Cafe"/>
        <s v="Insurance"/>
        <s v="Maintenance"/>
        <s v="Groceries"/>
        <s v="Home Needs"/>
        <s v="Water &amp; Gas"/>
        <s v="Books"/>
        <s v="Accessories"/>
        <s v="Online Delivery"/>
        <s v="Trips"/>
        <s v="Fuel"/>
        <s v="Events &amp; Outings"/>
        <s v="Restaurants"/>
        <s v="Repairs"/>
        <s v="OTT Subscriptions"/>
        <s v="Movies"/>
        <s v="Doctor Visits"/>
        <s v="Medicines"/>
        <s v="Cab/Auto"/>
        <s v="Gym &amp; Fitness"/>
        <s v="Electricity"/>
        <s v="Exam Fees"/>
        <s v="Electronics"/>
        <s v="Furnishing"/>
        <s v="Internet"/>
        <s v="Course Fees"/>
        <s v="Online Subscriptions"/>
        <s v="Gaming"/>
        <s v="Mobile Recharge"/>
        <m/>
      </sharedItems>
    </cacheField>
    <cacheField name="Description" numFmtId="0">
      <sharedItems containsBlank="1"/>
    </cacheField>
    <cacheField name="Payment Mode" numFmtId="0">
      <sharedItems containsBlank="1" count="6">
        <s v="Net Banking"/>
        <s v="UPI"/>
        <s v="Credit Card"/>
        <s v="Cash"/>
        <s v="Debit Card"/>
        <m/>
      </sharedItems>
    </cacheField>
    <cacheField name="Expense Type" numFmtId="0">
      <sharedItems containsBlank="1" count="3">
        <s v="Need"/>
        <s v="Want"/>
        <m/>
      </sharedItems>
    </cacheField>
    <cacheField name="Amount (₹)" numFmtId="166">
      <sharedItems containsSemiMixedTypes="0" containsString="0" containsNumber="1" containsInteger="1" minValue="53" maxValue="527098" count="371">
        <n v="8500"/>
        <n v="2494"/>
        <n v="344"/>
        <n v="120"/>
        <n v="2483"/>
        <n v="1080"/>
        <n v="683"/>
        <n v="573"/>
        <n v="390"/>
        <n v="398"/>
        <n v="321"/>
        <n v="1572"/>
        <n v="1086"/>
        <n v="1798"/>
        <n v="219"/>
        <n v="1013"/>
        <n v="505"/>
        <n v="6062"/>
        <n v="305"/>
        <n v="449"/>
        <n v="716"/>
        <n v="1324"/>
        <n v="218"/>
        <n v="850"/>
        <n v="434"/>
        <n v="594"/>
        <n v="249"/>
        <n v="928"/>
        <n v="670"/>
        <n v="493"/>
        <n v="397"/>
        <n v="424"/>
        <n v="980"/>
        <n v="789"/>
        <n v="1153"/>
        <n v="1033"/>
        <n v="191"/>
        <n v="488"/>
        <n v="462"/>
        <n v="678"/>
        <n v="1964"/>
        <n v="508"/>
        <n v="212"/>
        <n v="378"/>
        <n v="4331"/>
        <n v="958"/>
        <n v="1060"/>
        <n v="824"/>
        <n v="4482"/>
        <n v="615"/>
        <n v="151"/>
        <n v="1709"/>
        <n v="726"/>
        <n v="1300"/>
        <n v="2373"/>
        <n v="464"/>
        <n v="457"/>
        <n v="766"/>
        <n v="228"/>
        <n v="913"/>
        <n v="938"/>
        <n v="292"/>
        <n v="700"/>
        <n v="358"/>
        <n v="574"/>
        <n v="279"/>
        <n v="2570"/>
        <n v="435"/>
        <n v="603"/>
        <n v="968"/>
        <n v="4949"/>
        <n v="3179"/>
        <n v="926"/>
        <n v="478"/>
        <n v="1880"/>
        <n v="2280"/>
        <n v="1171"/>
        <n v="1773"/>
        <n v="252"/>
        <n v="447"/>
        <n v="225"/>
        <n v="702"/>
        <n v="2857"/>
        <n v="657"/>
        <n v="343"/>
        <n v="885"/>
        <n v="2497"/>
        <n v="1017"/>
        <n v="469"/>
        <n v="668"/>
        <n v="856"/>
        <n v="953"/>
        <n v="519"/>
        <n v="184"/>
        <n v="354"/>
        <n v="367"/>
        <n v="1531"/>
        <n v="399"/>
        <n v="1426"/>
        <n v="1169"/>
        <n v="667"/>
        <n v="1576"/>
        <n v="64"/>
        <n v="1111"/>
        <n v="2006"/>
        <n v="910"/>
        <n v="391"/>
        <n v="609"/>
        <n v="1486"/>
        <n v="549"/>
        <n v="791"/>
        <n v="163"/>
        <n v="5361"/>
        <n v="382"/>
        <n v="2979"/>
        <n v="204"/>
        <n v="1354"/>
        <n v="688"/>
        <n v="1156"/>
        <n v="1223"/>
        <n v="379"/>
        <n v="1459"/>
        <n v="253"/>
        <n v="380"/>
        <n v="269"/>
        <n v="4701"/>
        <n v="386"/>
        <n v="194"/>
        <n v="1138"/>
        <n v="2284"/>
        <n v="1651"/>
        <n v="278"/>
        <n v="138"/>
        <n v="1061"/>
        <n v="111"/>
        <n v="849"/>
        <n v="665"/>
        <n v="400"/>
        <n v="525"/>
        <n v="2707"/>
        <n v="998"/>
        <n v="620"/>
        <n v="1372"/>
        <n v="123"/>
        <n v="1536"/>
        <n v="352"/>
        <n v="1032"/>
        <n v="540"/>
        <n v="384"/>
        <n v="1952"/>
        <n v="1045"/>
        <n v="1503"/>
        <n v="952"/>
        <n v="1453"/>
        <n v="300"/>
        <n v="510"/>
        <n v="643"/>
        <n v="297"/>
        <n v="259"/>
        <n v="1066"/>
        <n v="1189"/>
        <n v="1475"/>
        <n v="845"/>
        <n v="1266"/>
        <n v="2209"/>
        <n v="366"/>
        <n v="257"/>
        <n v="921"/>
        <n v="175"/>
        <n v="1661"/>
        <n v="190"/>
        <n v="330"/>
        <n v="788"/>
        <n v="1175"/>
        <n v="180"/>
        <n v="109"/>
        <n v="3064"/>
        <n v="403"/>
        <n v="418"/>
        <n v="704"/>
        <n v="97"/>
        <n v="332"/>
        <n v="858"/>
        <n v="619"/>
        <n v="153"/>
        <n v="210"/>
        <n v="1123"/>
        <n v="376"/>
        <n v="370"/>
        <n v="803"/>
        <n v="465"/>
        <n v="221"/>
        <n v="280"/>
        <n v="550"/>
        <n v="3497"/>
        <n v="172"/>
        <n v="1008"/>
        <n v="468"/>
        <n v="2305"/>
        <n v="351"/>
        <n v="534"/>
        <n v="6085"/>
        <n v="74"/>
        <n v="1389"/>
        <n v="1868"/>
        <n v="134"/>
        <n v="1950"/>
        <n v="902"/>
        <n v="442"/>
        <n v="817"/>
        <n v="740"/>
        <n v="1136"/>
        <n v="744"/>
        <n v="588"/>
        <n v="685"/>
        <n v="350"/>
        <n v="843"/>
        <n v="3194"/>
        <n v="1063"/>
        <n v="2650"/>
        <n v="177"/>
        <n v="680"/>
        <n v="72"/>
        <n v="2931"/>
        <n v="507"/>
        <n v="236"/>
        <n v="6014"/>
        <n v="381"/>
        <n v="1059"/>
        <n v="202"/>
        <n v="2417"/>
        <n v="1173"/>
        <n v="1823"/>
        <n v="284"/>
        <n v="137"/>
        <n v="270"/>
        <n v="6428"/>
        <n v="1386"/>
        <n v="1155"/>
        <n v="1326"/>
        <n v="947"/>
        <n v="591"/>
        <n v="920"/>
        <n v="2247"/>
        <n v="1677"/>
        <n v="1025"/>
        <n v="1552"/>
        <n v="3253"/>
        <n v="373"/>
        <n v="425"/>
        <n v="559"/>
        <n v="955"/>
        <n v="1679"/>
        <n v="242"/>
        <n v="654"/>
        <n v="733"/>
        <n v="1962"/>
        <n v="562"/>
        <n v="1093"/>
        <n v="522"/>
        <n v="635"/>
        <n v="1625"/>
        <n v="296"/>
        <n v="1191"/>
        <n v="467"/>
        <n v="2532"/>
        <n v="294"/>
        <n v="737"/>
        <n v="1042"/>
        <n v="767"/>
        <n v="877"/>
        <n v="285"/>
        <n v="1088"/>
        <n v="565"/>
        <n v="254"/>
        <n v="1058"/>
        <n v="201"/>
        <n v="1132"/>
        <n v="2087"/>
        <n v="1057"/>
        <n v="886"/>
        <n v="4726"/>
        <n v="1275"/>
        <n v="523"/>
        <n v="445"/>
        <n v="226"/>
        <n v="4685"/>
        <n v="506"/>
        <n v="1666"/>
        <n v="450"/>
        <n v="323"/>
        <n v="706"/>
        <n v="2123"/>
        <n v="560"/>
        <n v="621"/>
        <n v="132"/>
        <n v="222"/>
        <n v="395"/>
        <n v="1402"/>
        <n v="193"/>
        <n v="53"/>
        <n v="2077"/>
        <n v="1225"/>
        <n v="264"/>
        <n v="580"/>
        <n v="863"/>
        <n v="1637"/>
        <n v="908"/>
        <n v="637"/>
        <n v="748"/>
        <n v="965"/>
        <n v="1054"/>
        <n v="161"/>
        <n v="1089"/>
        <n v="1041"/>
        <n v="334"/>
        <n v="1180"/>
        <n v="500"/>
        <n v="629"/>
        <n v="1317"/>
        <n v="901"/>
        <n v="413"/>
        <n v="6024"/>
        <n v="499"/>
        <n v="118"/>
        <n v="460"/>
        <n v="1172"/>
        <n v="2443"/>
        <n v="575"/>
        <n v="414"/>
        <n v="669"/>
        <n v="6295"/>
        <n v="852"/>
        <n v="4324"/>
        <n v="231"/>
        <n v="1134"/>
        <n v="986"/>
        <n v="707"/>
        <n v="1764"/>
        <n v="779"/>
        <n v="1532"/>
        <n v="883"/>
        <n v="864"/>
        <n v="1168"/>
        <n v="4536"/>
        <n v="509"/>
        <n v="5345"/>
        <n v="1431"/>
        <n v="363"/>
        <n v="558"/>
        <n v="694"/>
        <n v="5316"/>
        <n v="677"/>
        <n v="4682"/>
        <n v="1194"/>
        <n v="2617"/>
        <n v="1027"/>
        <n v="1293"/>
        <n v="127"/>
        <n v="1320"/>
        <n v="448"/>
        <n v="1631"/>
        <n v="2449"/>
        <n v="319"/>
        <n v="178"/>
        <n v="429"/>
        <n v="930"/>
        <n v="1252"/>
        <n v="69"/>
        <n v="234"/>
        <n v="527098"/>
      </sharedItems>
    </cacheField>
    <cacheField name="Months (Month)" numFmtId="0" databaseField="0">
      <fieldGroup base="2">
        <rangePr groupBy="months" startDate="2025-10-01T00:00:00" endDate="2026-09-02T00:00:00"/>
        <groupItems count="14">
          <s v="&lt;01-10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6"/>
        </groupItems>
      </fieldGroup>
    </cacheField>
    <cacheField name="Quarters (Month)" numFmtId="0" databaseField="0">
      <fieldGroup base="2">
        <rangePr groupBy="quarters" startDate="2025-10-01T00:00:00" endDate="2026-09-02T00:00:00"/>
        <groupItems count="6">
          <s v="&lt;01-10-2025"/>
          <s v="Qtr1"/>
          <s v="Qtr2"/>
          <s v="Qtr3"/>
          <s v="Qtr4"/>
          <s v="&gt;02-09-2026"/>
        </groupItems>
      </fieldGroup>
    </cacheField>
    <cacheField name="Years (Month)" numFmtId="0" databaseField="0">
      <fieldGroup base="2">
        <rangePr groupBy="years" startDate="2025-10-01T00:00:00" endDate="2026-09-02T00:00:00"/>
        <groupItems count="4">
          <s v="&lt;01-10-2025"/>
          <s v="2025"/>
          <s v="2026"/>
          <s v="&gt;02-09-2026"/>
        </groupItems>
      </fieldGroup>
    </cacheField>
    <cacheField name="Months (Date)" numFmtId="0" databaseField="0">
      <fieldGroup base="1">
        <rangePr groupBy="months" startDate="2025-10-01T00:00:00" endDate="2026-10-01T00:00:00"/>
        <groupItems count="14">
          <s v="&lt;01-10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0-2026"/>
        </groupItems>
      </fieldGroup>
    </cacheField>
    <cacheField name="Quarters (Date)" numFmtId="0" databaseField="0">
      <fieldGroup base="1">
        <rangePr groupBy="quarters" startDate="2025-10-01T00:00:00" endDate="2026-10-01T00:00:00"/>
        <groupItems count="6">
          <s v="&lt;01-10-2025"/>
          <s v="Qtr1"/>
          <s v="Qtr2"/>
          <s v="Qtr3"/>
          <s v="Qtr4"/>
          <s v="&gt;01-10-2026"/>
        </groupItems>
      </fieldGroup>
    </cacheField>
    <cacheField name="Years (Date)" numFmtId="0" databaseField="0">
      <fieldGroup base="1">
        <rangePr groupBy="years" startDate="2025-10-01T00:00:00" endDate="2026-10-01T00:00:00"/>
        <groupItems count="4">
          <s v="&lt;01-10-2025"/>
          <s v="2025"/>
          <s v="2026"/>
          <s v="&gt;01-10-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">
  <r>
    <s v="TX0001"/>
    <x v="0"/>
    <x v="0"/>
    <x v="0"/>
    <x v="0"/>
    <s v="Monthly house rent"/>
    <x v="0"/>
    <x v="0"/>
    <x v="0"/>
  </r>
  <r>
    <s v="TX0002"/>
    <x v="0"/>
    <x v="0"/>
    <x v="1"/>
    <x v="1"/>
    <s v="Shirt &amp; jeans"/>
    <x v="1"/>
    <x v="1"/>
    <x v="1"/>
  </r>
  <r>
    <s v="TX0003"/>
    <x v="0"/>
    <x v="0"/>
    <x v="2"/>
    <x v="2"/>
    <s v="Bus ticket"/>
    <x v="1"/>
    <x v="0"/>
    <x v="2"/>
  </r>
  <r>
    <s v="TX0004"/>
    <x v="1"/>
    <x v="0"/>
    <x v="3"/>
    <x v="3"/>
    <s v="Juice bar"/>
    <x v="0"/>
    <x v="1"/>
    <x v="3"/>
  </r>
  <r>
    <s v="TX0005"/>
    <x v="1"/>
    <x v="0"/>
    <x v="4"/>
    <x v="4"/>
    <s v="Term plan premium"/>
    <x v="1"/>
    <x v="0"/>
    <x v="4"/>
  </r>
  <r>
    <s v="TX0006"/>
    <x v="1"/>
    <x v="0"/>
    <x v="0"/>
    <x v="5"/>
    <s v="Society maintenance"/>
    <x v="2"/>
    <x v="0"/>
    <x v="5"/>
  </r>
  <r>
    <s v="TX0007"/>
    <x v="2"/>
    <x v="0"/>
    <x v="3"/>
    <x v="6"/>
    <s v="BigBasket order"/>
    <x v="1"/>
    <x v="0"/>
    <x v="6"/>
  </r>
  <r>
    <s v="TX0008"/>
    <x v="3"/>
    <x v="0"/>
    <x v="2"/>
    <x v="2"/>
    <s v="Metro card recharge"/>
    <x v="3"/>
    <x v="0"/>
    <x v="7"/>
  </r>
  <r>
    <s v="TX0009"/>
    <x v="4"/>
    <x v="0"/>
    <x v="1"/>
    <x v="7"/>
    <s v="Home decor"/>
    <x v="1"/>
    <x v="1"/>
    <x v="8"/>
  </r>
  <r>
    <s v="TX0010"/>
    <x v="4"/>
    <x v="0"/>
    <x v="5"/>
    <x v="8"/>
    <s v="Gas cylinder"/>
    <x v="1"/>
    <x v="0"/>
    <x v="9"/>
  </r>
  <r>
    <s v="TX0011"/>
    <x v="5"/>
    <x v="0"/>
    <x v="6"/>
    <x v="9"/>
    <s v="Reference book"/>
    <x v="1"/>
    <x v="0"/>
    <x v="10"/>
  </r>
  <r>
    <s v="TX0012"/>
    <x v="5"/>
    <x v="0"/>
    <x v="3"/>
    <x v="6"/>
    <s v="Reliance Fresh"/>
    <x v="0"/>
    <x v="0"/>
    <x v="11"/>
  </r>
  <r>
    <s v="TX0013"/>
    <x v="5"/>
    <x v="0"/>
    <x v="5"/>
    <x v="8"/>
    <s v="Water can &amp; bill"/>
    <x v="4"/>
    <x v="0"/>
    <x v="12"/>
  </r>
  <r>
    <s v="TX0014"/>
    <x v="6"/>
    <x v="0"/>
    <x v="3"/>
    <x v="6"/>
    <s v="Vegetable market"/>
    <x v="2"/>
    <x v="0"/>
    <x v="13"/>
  </r>
  <r>
    <s v="TX0015"/>
    <x v="7"/>
    <x v="0"/>
    <x v="3"/>
    <x v="3"/>
    <s v="Tea &amp; snacks"/>
    <x v="1"/>
    <x v="1"/>
    <x v="14"/>
  </r>
  <r>
    <s v="TX0016"/>
    <x v="7"/>
    <x v="0"/>
    <x v="1"/>
    <x v="10"/>
    <s v="Sunglasses"/>
    <x v="3"/>
    <x v="1"/>
    <x v="15"/>
  </r>
  <r>
    <s v="TX0017"/>
    <x v="8"/>
    <x v="0"/>
    <x v="3"/>
    <x v="11"/>
    <s v="Pizza delivery"/>
    <x v="1"/>
    <x v="1"/>
    <x v="16"/>
  </r>
  <r>
    <s v="TX0018"/>
    <x v="9"/>
    <x v="0"/>
    <x v="2"/>
    <x v="12"/>
    <s v="Family visit travel"/>
    <x v="1"/>
    <x v="1"/>
    <x v="17"/>
  </r>
  <r>
    <s v="TX0019"/>
    <x v="9"/>
    <x v="0"/>
    <x v="2"/>
    <x v="13"/>
    <s v="Petrol - bike"/>
    <x v="1"/>
    <x v="0"/>
    <x v="18"/>
  </r>
  <r>
    <s v="TX0020"/>
    <x v="10"/>
    <x v="0"/>
    <x v="7"/>
    <x v="14"/>
    <s v="Bowling night"/>
    <x v="1"/>
    <x v="1"/>
    <x v="19"/>
  </r>
  <r>
    <s v="TX0021"/>
    <x v="11"/>
    <x v="0"/>
    <x v="3"/>
    <x v="15"/>
    <s v="Biryani house"/>
    <x v="4"/>
    <x v="1"/>
    <x v="20"/>
  </r>
  <r>
    <s v="TX0022"/>
    <x v="12"/>
    <x v="0"/>
    <x v="3"/>
    <x v="15"/>
    <s v="Family dinner"/>
    <x v="1"/>
    <x v="1"/>
    <x v="21"/>
  </r>
  <r>
    <s v="TX0023"/>
    <x v="13"/>
    <x v="0"/>
    <x v="3"/>
    <x v="3"/>
    <s v="Juice bar"/>
    <x v="1"/>
    <x v="1"/>
    <x v="22"/>
  </r>
  <r>
    <s v="TX0024"/>
    <x v="14"/>
    <x v="0"/>
    <x v="3"/>
    <x v="6"/>
    <s v="BigBasket order"/>
    <x v="1"/>
    <x v="0"/>
    <x v="23"/>
  </r>
  <r>
    <s v="TX0025"/>
    <x v="14"/>
    <x v="0"/>
    <x v="0"/>
    <x v="16"/>
    <s v="Plumbing repair"/>
    <x v="1"/>
    <x v="0"/>
    <x v="24"/>
  </r>
  <r>
    <s v="TX0026"/>
    <x v="15"/>
    <x v="0"/>
    <x v="3"/>
    <x v="11"/>
    <s v="Pizza delivery"/>
    <x v="3"/>
    <x v="1"/>
    <x v="25"/>
  </r>
  <r>
    <s v="TX0027"/>
    <x v="16"/>
    <x v="0"/>
    <x v="3"/>
    <x v="3"/>
    <s v="Coffee shop"/>
    <x v="1"/>
    <x v="1"/>
    <x v="26"/>
  </r>
  <r>
    <s v="TX0028"/>
    <x v="17"/>
    <x v="0"/>
    <x v="3"/>
    <x v="15"/>
    <s v="South Indian meals"/>
    <x v="1"/>
    <x v="1"/>
    <x v="27"/>
  </r>
  <r>
    <s v="TX0029"/>
    <x v="18"/>
    <x v="0"/>
    <x v="3"/>
    <x v="15"/>
    <s v="Biryani house"/>
    <x v="4"/>
    <x v="1"/>
    <x v="28"/>
  </r>
  <r>
    <s v="TX0030"/>
    <x v="18"/>
    <x v="0"/>
    <x v="5"/>
    <x v="8"/>
    <s v="Gas cylinder"/>
    <x v="1"/>
    <x v="0"/>
    <x v="29"/>
  </r>
  <r>
    <s v="TX0031"/>
    <x v="19"/>
    <x v="0"/>
    <x v="7"/>
    <x v="17"/>
    <s v="Amazon Prime"/>
    <x v="2"/>
    <x v="1"/>
    <x v="30"/>
  </r>
  <r>
    <s v="TX0032"/>
    <x v="19"/>
    <x v="0"/>
    <x v="3"/>
    <x v="15"/>
    <s v="Lunch with friends"/>
    <x v="4"/>
    <x v="1"/>
    <x v="31"/>
  </r>
  <r>
    <s v="TX0033"/>
    <x v="20"/>
    <x v="0"/>
    <x v="3"/>
    <x v="6"/>
    <s v="Vegetable market"/>
    <x v="1"/>
    <x v="0"/>
    <x v="32"/>
  </r>
  <r>
    <s v="TX0034"/>
    <x v="21"/>
    <x v="1"/>
    <x v="7"/>
    <x v="18"/>
    <s v="Movie tickets"/>
    <x v="1"/>
    <x v="1"/>
    <x v="33"/>
  </r>
  <r>
    <s v="TX0035"/>
    <x v="22"/>
    <x v="1"/>
    <x v="4"/>
    <x v="19"/>
    <s v="Eye check-up"/>
    <x v="2"/>
    <x v="0"/>
    <x v="34"/>
  </r>
  <r>
    <s v="TX0036"/>
    <x v="22"/>
    <x v="1"/>
    <x v="0"/>
    <x v="0"/>
    <s v="Monthly house rent"/>
    <x v="0"/>
    <x v="0"/>
    <x v="0"/>
  </r>
  <r>
    <s v="TX0037"/>
    <x v="22"/>
    <x v="1"/>
    <x v="2"/>
    <x v="13"/>
    <s v="Fuel refill"/>
    <x v="4"/>
    <x v="0"/>
    <x v="35"/>
  </r>
  <r>
    <s v="TX0038"/>
    <x v="23"/>
    <x v="1"/>
    <x v="3"/>
    <x v="3"/>
    <s v="Juice bar"/>
    <x v="4"/>
    <x v="1"/>
    <x v="36"/>
  </r>
  <r>
    <s v="TX0039"/>
    <x v="24"/>
    <x v="1"/>
    <x v="7"/>
    <x v="17"/>
    <s v="Netflix"/>
    <x v="2"/>
    <x v="1"/>
    <x v="37"/>
  </r>
  <r>
    <s v="TX0040"/>
    <x v="25"/>
    <x v="1"/>
    <x v="3"/>
    <x v="15"/>
    <s v="Family dinner"/>
    <x v="1"/>
    <x v="1"/>
    <x v="38"/>
  </r>
  <r>
    <s v="TX0041"/>
    <x v="26"/>
    <x v="1"/>
    <x v="4"/>
    <x v="20"/>
    <s v="Vitamins"/>
    <x v="2"/>
    <x v="0"/>
    <x v="39"/>
  </r>
  <r>
    <s v="TX0042"/>
    <x v="27"/>
    <x v="1"/>
    <x v="0"/>
    <x v="16"/>
    <s v="Appliance repair"/>
    <x v="3"/>
    <x v="0"/>
    <x v="40"/>
  </r>
  <r>
    <s v="TX0043"/>
    <x v="28"/>
    <x v="1"/>
    <x v="4"/>
    <x v="19"/>
    <s v="Eye check-up"/>
    <x v="3"/>
    <x v="0"/>
    <x v="41"/>
  </r>
  <r>
    <s v="TX0044"/>
    <x v="28"/>
    <x v="1"/>
    <x v="2"/>
    <x v="21"/>
    <s v="Rapido ride"/>
    <x v="2"/>
    <x v="1"/>
    <x v="42"/>
  </r>
  <r>
    <s v="TX0045"/>
    <x v="29"/>
    <x v="1"/>
    <x v="2"/>
    <x v="21"/>
    <s v="Rapido ride"/>
    <x v="1"/>
    <x v="1"/>
    <x v="43"/>
  </r>
  <r>
    <s v="TX0046"/>
    <x v="29"/>
    <x v="1"/>
    <x v="2"/>
    <x v="12"/>
    <s v="Family visit travel"/>
    <x v="1"/>
    <x v="1"/>
    <x v="44"/>
  </r>
  <r>
    <s v="TX0047"/>
    <x v="30"/>
    <x v="1"/>
    <x v="4"/>
    <x v="22"/>
    <s v="Fitness supplements"/>
    <x v="1"/>
    <x v="1"/>
    <x v="45"/>
  </r>
  <r>
    <s v="TX0048"/>
    <x v="30"/>
    <x v="1"/>
    <x v="5"/>
    <x v="23"/>
    <s v="Electricity bill"/>
    <x v="1"/>
    <x v="0"/>
    <x v="46"/>
  </r>
  <r>
    <s v="TX0049"/>
    <x v="31"/>
    <x v="1"/>
    <x v="6"/>
    <x v="24"/>
    <s v="Exam registration"/>
    <x v="1"/>
    <x v="0"/>
    <x v="21"/>
  </r>
  <r>
    <s v="TX0050"/>
    <x v="32"/>
    <x v="1"/>
    <x v="4"/>
    <x v="4"/>
    <s v="Health insurance premium"/>
    <x v="1"/>
    <x v="0"/>
    <x v="47"/>
  </r>
  <r>
    <s v="TX0051"/>
    <x v="32"/>
    <x v="1"/>
    <x v="1"/>
    <x v="25"/>
    <s v="Power bank"/>
    <x v="2"/>
    <x v="1"/>
    <x v="48"/>
  </r>
  <r>
    <s v="TX0052"/>
    <x v="33"/>
    <x v="1"/>
    <x v="7"/>
    <x v="18"/>
    <s v="Movie tickets"/>
    <x v="1"/>
    <x v="1"/>
    <x v="49"/>
  </r>
  <r>
    <s v="TX0053"/>
    <x v="33"/>
    <x v="1"/>
    <x v="3"/>
    <x v="11"/>
    <s v="Zomato order"/>
    <x v="1"/>
    <x v="1"/>
    <x v="50"/>
  </r>
  <r>
    <s v="TX0054"/>
    <x v="34"/>
    <x v="1"/>
    <x v="0"/>
    <x v="26"/>
    <s v="Mattress cover"/>
    <x v="2"/>
    <x v="1"/>
    <x v="51"/>
  </r>
  <r>
    <s v="TX0055"/>
    <x v="35"/>
    <x v="1"/>
    <x v="3"/>
    <x v="15"/>
    <s v="South Indian meals"/>
    <x v="2"/>
    <x v="1"/>
    <x v="52"/>
  </r>
  <r>
    <s v="TX0056"/>
    <x v="35"/>
    <x v="1"/>
    <x v="4"/>
    <x v="22"/>
    <s v="Gym membership"/>
    <x v="3"/>
    <x v="1"/>
    <x v="53"/>
  </r>
  <r>
    <s v="TX0057"/>
    <x v="35"/>
    <x v="1"/>
    <x v="1"/>
    <x v="1"/>
    <s v="Shirt &amp; jeans"/>
    <x v="3"/>
    <x v="1"/>
    <x v="54"/>
  </r>
  <r>
    <s v="TX0058"/>
    <x v="36"/>
    <x v="1"/>
    <x v="3"/>
    <x v="6"/>
    <s v="Local supermarket"/>
    <x v="1"/>
    <x v="0"/>
    <x v="55"/>
  </r>
  <r>
    <s v="TX0059"/>
    <x v="37"/>
    <x v="2"/>
    <x v="7"/>
    <x v="18"/>
    <s v="IMAX show"/>
    <x v="1"/>
    <x v="1"/>
    <x v="56"/>
  </r>
  <r>
    <s v="TX0060"/>
    <x v="37"/>
    <x v="2"/>
    <x v="0"/>
    <x v="16"/>
    <s v="Appliance repair"/>
    <x v="1"/>
    <x v="0"/>
    <x v="57"/>
  </r>
  <r>
    <s v="TX0061"/>
    <x v="38"/>
    <x v="2"/>
    <x v="3"/>
    <x v="15"/>
    <s v="Biryani house"/>
    <x v="1"/>
    <x v="1"/>
    <x v="58"/>
  </r>
  <r>
    <s v="TX0062"/>
    <x v="38"/>
    <x v="2"/>
    <x v="1"/>
    <x v="10"/>
    <s v="Watch"/>
    <x v="1"/>
    <x v="1"/>
    <x v="59"/>
  </r>
  <r>
    <s v="TX0063"/>
    <x v="38"/>
    <x v="2"/>
    <x v="1"/>
    <x v="1"/>
    <s v="Shirt &amp; jeans"/>
    <x v="1"/>
    <x v="1"/>
    <x v="60"/>
  </r>
  <r>
    <s v="TX0064"/>
    <x v="38"/>
    <x v="2"/>
    <x v="2"/>
    <x v="2"/>
    <s v="Train ticket"/>
    <x v="1"/>
    <x v="0"/>
    <x v="61"/>
  </r>
  <r>
    <s v="TX0065"/>
    <x v="38"/>
    <x v="2"/>
    <x v="2"/>
    <x v="13"/>
    <s v="Petrol - car"/>
    <x v="1"/>
    <x v="0"/>
    <x v="62"/>
  </r>
  <r>
    <s v="TX0066"/>
    <x v="38"/>
    <x v="2"/>
    <x v="5"/>
    <x v="8"/>
    <s v="Water can &amp; bill"/>
    <x v="1"/>
    <x v="0"/>
    <x v="63"/>
  </r>
  <r>
    <s v="TX0067"/>
    <x v="39"/>
    <x v="2"/>
    <x v="0"/>
    <x v="5"/>
    <s v="Cleaning service"/>
    <x v="1"/>
    <x v="0"/>
    <x v="64"/>
  </r>
  <r>
    <s v="TX0068"/>
    <x v="39"/>
    <x v="2"/>
    <x v="2"/>
    <x v="21"/>
    <s v="Rapido ride"/>
    <x v="1"/>
    <x v="1"/>
    <x v="65"/>
  </r>
  <r>
    <s v="TX0069"/>
    <x v="40"/>
    <x v="2"/>
    <x v="0"/>
    <x v="0"/>
    <s v="Monthly house rent"/>
    <x v="0"/>
    <x v="0"/>
    <x v="0"/>
  </r>
  <r>
    <s v="TX0070"/>
    <x v="40"/>
    <x v="2"/>
    <x v="1"/>
    <x v="1"/>
    <s v="Festival wear"/>
    <x v="1"/>
    <x v="1"/>
    <x v="66"/>
  </r>
  <r>
    <s v="TX0071"/>
    <x v="40"/>
    <x v="2"/>
    <x v="5"/>
    <x v="8"/>
    <s v="Water can &amp; bill"/>
    <x v="1"/>
    <x v="0"/>
    <x v="67"/>
  </r>
  <r>
    <s v="TX0072"/>
    <x v="41"/>
    <x v="2"/>
    <x v="7"/>
    <x v="18"/>
    <s v="IMAX show"/>
    <x v="3"/>
    <x v="1"/>
    <x v="68"/>
  </r>
  <r>
    <s v="TX0073"/>
    <x v="41"/>
    <x v="2"/>
    <x v="3"/>
    <x v="11"/>
    <s v="Zomato order"/>
    <x v="0"/>
    <x v="1"/>
    <x v="36"/>
  </r>
  <r>
    <s v="TX0074"/>
    <x v="42"/>
    <x v="2"/>
    <x v="5"/>
    <x v="27"/>
    <s v="Wi-Fi renewal"/>
    <x v="1"/>
    <x v="0"/>
    <x v="69"/>
  </r>
  <r>
    <s v="TX0075"/>
    <x v="43"/>
    <x v="2"/>
    <x v="4"/>
    <x v="20"/>
    <s v="Vitamins"/>
    <x v="1"/>
    <x v="0"/>
    <x v="49"/>
  </r>
  <r>
    <s v="TX0076"/>
    <x v="44"/>
    <x v="2"/>
    <x v="2"/>
    <x v="12"/>
    <s v="Flight ticket"/>
    <x v="2"/>
    <x v="1"/>
    <x v="70"/>
  </r>
  <r>
    <s v="TX0077"/>
    <x v="45"/>
    <x v="2"/>
    <x v="6"/>
    <x v="28"/>
    <s v="Online course"/>
    <x v="1"/>
    <x v="0"/>
    <x v="71"/>
  </r>
  <r>
    <s v="TX0078"/>
    <x v="45"/>
    <x v="2"/>
    <x v="1"/>
    <x v="7"/>
    <s v="Kitchen items"/>
    <x v="1"/>
    <x v="1"/>
    <x v="72"/>
  </r>
  <r>
    <s v="TX0079"/>
    <x v="45"/>
    <x v="2"/>
    <x v="5"/>
    <x v="8"/>
    <s v="Gas cylinder"/>
    <x v="2"/>
    <x v="0"/>
    <x v="73"/>
  </r>
  <r>
    <s v="TX0080"/>
    <x v="46"/>
    <x v="2"/>
    <x v="4"/>
    <x v="4"/>
    <s v="Term plan premium"/>
    <x v="4"/>
    <x v="0"/>
    <x v="74"/>
  </r>
  <r>
    <s v="TX0081"/>
    <x v="47"/>
    <x v="2"/>
    <x v="4"/>
    <x v="4"/>
    <s v="Term plan premium"/>
    <x v="4"/>
    <x v="0"/>
    <x v="75"/>
  </r>
  <r>
    <s v="TX0082"/>
    <x v="47"/>
    <x v="2"/>
    <x v="0"/>
    <x v="5"/>
    <s v="Cleaning service"/>
    <x v="3"/>
    <x v="0"/>
    <x v="76"/>
  </r>
  <r>
    <s v="TX0083"/>
    <x v="48"/>
    <x v="2"/>
    <x v="3"/>
    <x v="6"/>
    <s v="Local supermarket"/>
    <x v="1"/>
    <x v="0"/>
    <x v="77"/>
  </r>
  <r>
    <s v="TX0084"/>
    <x v="49"/>
    <x v="2"/>
    <x v="7"/>
    <x v="17"/>
    <s v="Disney+ Hotstar"/>
    <x v="4"/>
    <x v="1"/>
    <x v="78"/>
  </r>
  <r>
    <s v="TX0085"/>
    <x v="50"/>
    <x v="2"/>
    <x v="3"/>
    <x v="11"/>
    <s v="Swiggy order"/>
    <x v="1"/>
    <x v="1"/>
    <x v="79"/>
  </r>
  <r>
    <s v="TX0086"/>
    <x v="50"/>
    <x v="2"/>
    <x v="3"/>
    <x v="11"/>
    <s v="Pizza delivery"/>
    <x v="2"/>
    <x v="1"/>
    <x v="80"/>
  </r>
  <r>
    <s v="TX0087"/>
    <x v="51"/>
    <x v="2"/>
    <x v="6"/>
    <x v="9"/>
    <s v="Stationery"/>
    <x v="2"/>
    <x v="0"/>
    <x v="81"/>
  </r>
  <r>
    <s v="TX0088"/>
    <x v="51"/>
    <x v="2"/>
    <x v="2"/>
    <x v="12"/>
    <s v="Weekend trip"/>
    <x v="2"/>
    <x v="1"/>
    <x v="82"/>
  </r>
  <r>
    <s v="TX0089"/>
    <x v="52"/>
    <x v="2"/>
    <x v="3"/>
    <x v="6"/>
    <s v="Vegetable market"/>
    <x v="2"/>
    <x v="0"/>
    <x v="83"/>
  </r>
  <r>
    <s v="TX0090"/>
    <x v="53"/>
    <x v="2"/>
    <x v="4"/>
    <x v="19"/>
    <s v="Eye check-up"/>
    <x v="1"/>
    <x v="0"/>
    <x v="84"/>
  </r>
  <r>
    <s v="TX0091"/>
    <x v="53"/>
    <x v="2"/>
    <x v="0"/>
    <x v="5"/>
    <s v="Society maintenance"/>
    <x v="4"/>
    <x v="0"/>
    <x v="85"/>
  </r>
  <r>
    <s v="TX0092"/>
    <x v="53"/>
    <x v="2"/>
    <x v="2"/>
    <x v="12"/>
    <s v="Flight ticket"/>
    <x v="1"/>
    <x v="1"/>
    <x v="86"/>
  </r>
  <r>
    <s v="TX0093"/>
    <x v="54"/>
    <x v="2"/>
    <x v="1"/>
    <x v="7"/>
    <s v="Cleaning supplies"/>
    <x v="1"/>
    <x v="1"/>
    <x v="87"/>
  </r>
  <r>
    <s v="TX0094"/>
    <x v="55"/>
    <x v="2"/>
    <x v="6"/>
    <x v="29"/>
    <s v="Coursera plan"/>
    <x v="4"/>
    <x v="1"/>
    <x v="88"/>
  </r>
  <r>
    <s v="TX0095"/>
    <x v="55"/>
    <x v="2"/>
    <x v="3"/>
    <x v="11"/>
    <s v="Late-night delivery"/>
    <x v="1"/>
    <x v="1"/>
    <x v="89"/>
  </r>
  <r>
    <s v="TX0096"/>
    <x v="55"/>
    <x v="2"/>
    <x v="5"/>
    <x v="8"/>
    <s v="Gas cylinder"/>
    <x v="1"/>
    <x v="0"/>
    <x v="90"/>
  </r>
  <r>
    <s v="TX0097"/>
    <x v="56"/>
    <x v="3"/>
    <x v="4"/>
    <x v="19"/>
    <s v="Dental check-up"/>
    <x v="2"/>
    <x v="0"/>
    <x v="32"/>
  </r>
  <r>
    <s v="TX0098"/>
    <x v="57"/>
    <x v="3"/>
    <x v="4"/>
    <x v="22"/>
    <s v="Fitness supplements"/>
    <x v="0"/>
    <x v="1"/>
    <x v="91"/>
  </r>
  <r>
    <s v="TX0099"/>
    <x v="58"/>
    <x v="3"/>
    <x v="7"/>
    <x v="17"/>
    <s v="Amazon Prime"/>
    <x v="1"/>
    <x v="1"/>
    <x v="92"/>
  </r>
  <r>
    <s v="TX0100"/>
    <x v="58"/>
    <x v="3"/>
    <x v="7"/>
    <x v="17"/>
    <s v="Disney+ Hotstar"/>
    <x v="1"/>
    <x v="1"/>
    <x v="93"/>
  </r>
  <r>
    <s v="TX0101"/>
    <x v="59"/>
    <x v="3"/>
    <x v="7"/>
    <x v="18"/>
    <s v="Movie tickets"/>
    <x v="0"/>
    <x v="1"/>
    <x v="94"/>
  </r>
  <r>
    <s v="TX0102"/>
    <x v="59"/>
    <x v="3"/>
    <x v="0"/>
    <x v="0"/>
    <s v="Monthly house rent"/>
    <x v="0"/>
    <x v="0"/>
    <x v="0"/>
  </r>
  <r>
    <s v="TX0103"/>
    <x v="60"/>
    <x v="3"/>
    <x v="7"/>
    <x v="17"/>
    <s v="Netflix"/>
    <x v="1"/>
    <x v="1"/>
    <x v="95"/>
  </r>
  <r>
    <s v="TX0104"/>
    <x v="60"/>
    <x v="3"/>
    <x v="3"/>
    <x v="6"/>
    <s v="Reliance Fresh"/>
    <x v="3"/>
    <x v="0"/>
    <x v="96"/>
  </r>
  <r>
    <s v="TX0105"/>
    <x v="60"/>
    <x v="3"/>
    <x v="2"/>
    <x v="13"/>
    <s v="Petrol - bike"/>
    <x v="3"/>
    <x v="0"/>
    <x v="79"/>
  </r>
  <r>
    <s v="TX0106"/>
    <x v="60"/>
    <x v="3"/>
    <x v="2"/>
    <x v="2"/>
    <s v="Metro card recharge"/>
    <x v="3"/>
    <x v="0"/>
    <x v="97"/>
  </r>
  <r>
    <s v="TX0107"/>
    <x v="61"/>
    <x v="3"/>
    <x v="3"/>
    <x v="6"/>
    <s v="BigBasket order"/>
    <x v="4"/>
    <x v="0"/>
    <x v="98"/>
  </r>
  <r>
    <s v="TX0108"/>
    <x v="62"/>
    <x v="3"/>
    <x v="7"/>
    <x v="30"/>
    <s v="Game top-up"/>
    <x v="1"/>
    <x v="1"/>
    <x v="99"/>
  </r>
  <r>
    <s v="TX0109"/>
    <x v="62"/>
    <x v="3"/>
    <x v="0"/>
    <x v="16"/>
    <s v="Plumbing repair"/>
    <x v="4"/>
    <x v="0"/>
    <x v="100"/>
  </r>
  <r>
    <s v="TX0110"/>
    <x v="63"/>
    <x v="3"/>
    <x v="5"/>
    <x v="23"/>
    <s v="TNEB electricity bill"/>
    <x v="1"/>
    <x v="0"/>
    <x v="101"/>
  </r>
  <r>
    <s v="TX0111"/>
    <x v="64"/>
    <x v="3"/>
    <x v="2"/>
    <x v="2"/>
    <s v="Bus ticket"/>
    <x v="1"/>
    <x v="0"/>
    <x v="102"/>
  </r>
  <r>
    <s v="TX0112"/>
    <x v="65"/>
    <x v="3"/>
    <x v="5"/>
    <x v="27"/>
    <s v="Wi-Fi renewal"/>
    <x v="2"/>
    <x v="0"/>
    <x v="103"/>
  </r>
  <r>
    <s v="TX0113"/>
    <x v="66"/>
    <x v="3"/>
    <x v="5"/>
    <x v="23"/>
    <s v="TNEB electricity bill"/>
    <x v="4"/>
    <x v="0"/>
    <x v="104"/>
  </r>
  <r>
    <s v="TX0114"/>
    <x v="67"/>
    <x v="3"/>
    <x v="6"/>
    <x v="28"/>
    <s v="Certification course"/>
    <x v="1"/>
    <x v="0"/>
    <x v="105"/>
  </r>
  <r>
    <s v="TX0115"/>
    <x v="67"/>
    <x v="3"/>
    <x v="3"/>
    <x v="3"/>
    <s v="Juice bar"/>
    <x v="2"/>
    <x v="1"/>
    <x v="106"/>
  </r>
  <r>
    <s v="TX0116"/>
    <x v="67"/>
    <x v="3"/>
    <x v="3"/>
    <x v="11"/>
    <s v="Late-night delivery"/>
    <x v="3"/>
    <x v="1"/>
    <x v="107"/>
  </r>
  <r>
    <s v="TX0117"/>
    <x v="67"/>
    <x v="3"/>
    <x v="3"/>
    <x v="6"/>
    <s v="Local supermarket"/>
    <x v="1"/>
    <x v="0"/>
    <x v="108"/>
  </r>
  <r>
    <s v="TX0118"/>
    <x v="68"/>
    <x v="3"/>
    <x v="7"/>
    <x v="18"/>
    <s v="Movie tickets"/>
    <x v="1"/>
    <x v="1"/>
    <x v="109"/>
  </r>
  <r>
    <s v="TX0119"/>
    <x v="69"/>
    <x v="3"/>
    <x v="3"/>
    <x v="15"/>
    <s v="South Indian meals"/>
    <x v="1"/>
    <x v="1"/>
    <x v="110"/>
  </r>
  <r>
    <s v="TX0120"/>
    <x v="69"/>
    <x v="3"/>
    <x v="3"/>
    <x v="3"/>
    <s v="Juice bar"/>
    <x v="1"/>
    <x v="1"/>
    <x v="111"/>
  </r>
  <r>
    <s v="TX0121"/>
    <x v="70"/>
    <x v="3"/>
    <x v="1"/>
    <x v="25"/>
    <s v="Power bank"/>
    <x v="1"/>
    <x v="1"/>
    <x v="112"/>
  </r>
  <r>
    <s v="TX0122"/>
    <x v="71"/>
    <x v="3"/>
    <x v="3"/>
    <x v="3"/>
    <s v="Bakery"/>
    <x v="4"/>
    <x v="1"/>
    <x v="113"/>
  </r>
  <r>
    <s v="TX0123"/>
    <x v="72"/>
    <x v="3"/>
    <x v="6"/>
    <x v="28"/>
    <s v="Online course"/>
    <x v="1"/>
    <x v="0"/>
    <x v="114"/>
  </r>
  <r>
    <s v="TX0124"/>
    <x v="72"/>
    <x v="3"/>
    <x v="3"/>
    <x v="3"/>
    <s v="Bakery"/>
    <x v="3"/>
    <x v="1"/>
    <x v="115"/>
  </r>
  <r>
    <s v="TX0125"/>
    <x v="73"/>
    <x v="3"/>
    <x v="4"/>
    <x v="4"/>
    <s v="Term plan premium"/>
    <x v="1"/>
    <x v="0"/>
    <x v="116"/>
  </r>
  <r>
    <s v="TX0126"/>
    <x v="74"/>
    <x v="3"/>
    <x v="3"/>
    <x v="11"/>
    <s v="Late-night delivery"/>
    <x v="4"/>
    <x v="1"/>
    <x v="117"/>
  </r>
  <r>
    <s v="TX0127"/>
    <x v="75"/>
    <x v="4"/>
    <x v="0"/>
    <x v="0"/>
    <s v="Monthly house rent"/>
    <x v="0"/>
    <x v="0"/>
    <x v="0"/>
  </r>
  <r>
    <s v="TX0128"/>
    <x v="75"/>
    <x v="4"/>
    <x v="1"/>
    <x v="10"/>
    <s v="Watch"/>
    <x v="1"/>
    <x v="1"/>
    <x v="118"/>
  </r>
  <r>
    <s v="TX0129"/>
    <x v="75"/>
    <x v="4"/>
    <x v="5"/>
    <x v="31"/>
    <s v="Jio recharge"/>
    <x v="1"/>
    <x v="0"/>
    <x v="26"/>
  </r>
  <r>
    <s v="TX0130"/>
    <x v="76"/>
    <x v="4"/>
    <x v="3"/>
    <x v="6"/>
    <s v="Local supermarket"/>
    <x v="1"/>
    <x v="0"/>
    <x v="119"/>
  </r>
  <r>
    <s v="TX0131"/>
    <x v="77"/>
    <x v="4"/>
    <x v="3"/>
    <x v="11"/>
    <s v="Zomato order"/>
    <x v="3"/>
    <x v="1"/>
    <x v="120"/>
  </r>
  <r>
    <s v="TX0132"/>
    <x v="77"/>
    <x v="4"/>
    <x v="1"/>
    <x v="25"/>
    <s v="Phone accessory"/>
    <x v="0"/>
    <x v="1"/>
    <x v="121"/>
  </r>
  <r>
    <s v="TX0133"/>
    <x v="78"/>
    <x v="4"/>
    <x v="3"/>
    <x v="15"/>
    <s v="Lunch with friends"/>
    <x v="2"/>
    <x v="1"/>
    <x v="122"/>
  </r>
  <r>
    <s v="TX0134"/>
    <x v="79"/>
    <x v="4"/>
    <x v="2"/>
    <x v="2"/>
    <s v="Train ticket"/>
    <x v="1"/>
    <x v="0"/>
    <x v="123"/>
  </r>
  <r>
    <s v="TX0135"/>
    <x v="79"/>
    <x v="4"/>
    <x v="2"/>
    <x v="21"/>
    <s v="Ola ride"/>
    <x v="1"/>
    <x v="1"/>
    <x v="124"/>
  </r>
  <r>
    <s v="TX0136"/>
    <x v="79"/>
    <x v="4"/>
    <x v="2"/>
    <x v="12"/>
    <s v="Hotel stay"/>
    <x v="4"/>
    <x v="1"/>
    <x v="125"/>
  </r>
  <r>
    <s v="TX0137"/>
    <x v="80"/>
    <x v="4"/>
    <x v="3"/>
    <x v="3"/>
    <s v="Coffee shop"/>
    <x v="1"/>
    <x v="1"/>
    <x v="9"/>
  </r>
  <r>
    <s v="TX0138"/>
    <x v="81"/>
    <x v="4"/>
    <x v="3"/>
    <x v="11"/>
    <s v="Swiggy order"/>
    <x v="4"/>
    <x v="1"/>
    <x v="126"/>
  </r>
  <r>
    <s v="TX0139"/>
    <x v="82"/>
    <x v="4"/>
    <x v="2"/>
    <x v="21"/>
    <s v="Rapido ride"/>
    <x v="1"/>
    <x v="1"/>
    <x v="127"/>
  </r>
  <r>
    <s v="TX0140"/>
    <x v="83"/>
    <x v="4"/>
    <x v="6"/>
    <x v="28"/>
    <s v="Online course"/>
    <x v="2"/>
    <x v="0"/>
    <x v="128"/>
  </r>
  <r>
    <s v="TX0141"/>
    <x v="83"/>
    <x v="4"/>
    <x v="1"/>
    <x v="1"/>
    <s v="Shirt &amp; jeans"/>
    <x v="1"/>
    <x v="1"/>
    <x v="129"/>
  </r>
  <r>
    <s v="TX0142"/>
    <x v="84"/>
    <x v="4"/>
    <x v="0"/>
    <x v="16"/>
    <s v="Electrical repair"/>
    <x v="1"/>
    <x v="0"/>
    <x v="130"/>
  </r>
  <r>
    <s v="TX0143"/>
    <x v="84"/>
    <x v="4"/>
    <x v="5"/>
    <x v="31"/>
    <s v="Jio recharge"/>
    <x v="0"/>
    <x v="0"/>
    <x v="131"/>
  </r>
  <r>
    <s v="TX0144"/>
    <x v="85"/>
    <x v="4"/>
    <x v="3"/>
    <x v="3"/>
    <s v="Juice bar"/>
    <x v="2"/>
    <x v="1"/>
    <x v="132"/>
  </r>
  <r>
    <s v="TX0145"/>
    <x v="85"/>
    <x v="4"/>
    <x v="2"/>
    <x v="13"/>
    <s v="Petrol - car"/>
    <x v="1"/>
    <x v="0"/>
    <x v="133"/>
  </r>
  <r>
    <s v="TX0146"/>
    <x v="85"/>
    <x v="4"/>
    <x v="2"/>
    <x v="21"/>
    <s v="Auto fare"/>
    <x v="3"/>
    <x v="1"/>
    <x v="134"/>
  </r>
  <r>
    <s v="TX0147"/>
    <x v="86"/>
    <x v="4"/>
    <x v="0"/>
    <x v="5"/>
    <s v="Society maintenance"/>
    <x v="1"/>
    <x v="0"/>
    <x v="135"/>
  </r>
  <r>
    <s v="TX0148"/>
    <x v="87"/>
    <x v="4"/>
    <x v="6"/>
    <x v="29"/>
    <s v="Coding platform"/>
    <x v="1"/>
    <x v="1"/>
    <x v="136"/>
  </r>
  <r>
    <s v="TX0149"/>
    <x v="88"/>
    <x v="4"/>
    <x v="3"/>
    <x v="3"/>
    <s v="Coffee shop"/>
    <x v="1"/>
    <x v="1"/>
    <x v="137"/>
  </r>
  <r>
    <s v="TX0150"/>
    <x v="88"/>
    <x v="4"/>
    <x v="5"/>
    <x v="31"/>
    <s v="Jio recharge"/>
    <x v="2"/>
    <x v="0"/>
    <x v="131"/>
  </r>
  <r>
    <s v="TX0151"/>
    <x v="89"/>
    <x v="4"/>
    <x v="5"/>
    <x v="31"/>
    <s v="Airtel recharge"/>
    <x v="1"/>
    <x v="0"/>
    <x v="138"/>
  </r>
  <r>
    <s v="TX0152"/>
    <x v="90"/>
    <x v="4"/>
    <x v="0"/>
    <x v="26"/>
    <s v="Storage rack"/>
    <x v="1"/>
    <x v="1"/>
    <x v="139"/>
  </r>
  <r>
    <s v="TX0153"/>
    <x v="90"/>
    <x v="4"/>
    <x v="5"/>
    <x v="27"/>
    <s v="Wi-Fi renewal"/>
    <x v="0"/>
    <x v="0"/>
    <x v="140"/>
  </r>
  <r>
    <s v="TX0154"/>
    <x v="91"/>
    <x v="4"/>
    <x v="3"/>
    <x v="11"/>
    <s v="Swiggy order"/>
    <x v="4"/>
    <x v="1"/>
    <x v="141"/>
  </r>
  <r>
    <s v="TX0155"/>
    <x v="92"/>
    <x v="4"/>
    <x v="4"/>
    <x v="22"/>
    <s v="Yoga class"/>
    <x v="1"/>
    <x v="1"/>
    <x v="142"/>
  </r>
  <r>
    <s v="TX0156"/>
    <x v="92"/>
    <x v="4"/>
    <x v="2"/>
    <x v="21"/>
    <s v="Auto fare"/>
    <x v="1"/>
    <x v="1"/>
    <x v="143"/>
  </r>
  <r>
    <s v="TX0157"/>
    <x v="93"/>
    <x v="4"/>
    <x v="4"/>
    <x v="4"/>
    <s v="Health insurance premium"/>
    <x v="1"/>
    <x v="0"/>
    <x v="144"/>
  </r>
  <r>
    <s v="TX0158"/>
    <x v="94"/>
    <x v="5"/>
    <x v="3"/>
    <x v="15"/>
    <s v="Biryani house"/>
    <x v="4"/>
    <x v="1"/>
    <x v="145"/>
  </r>
  <r>
    <s v="TX0159"/>
    <x v="94"/>
    <x v="5"/>
    <x v="2"/>
    <x v="13"/>
    <s v="Fuel refill"/>
    <x v="1"/>
    <x v="0"/>
    <x v="146"/>
  </r>
  <r>
    <s v="TX0160"/>
    <x v="95"/>
    <x v="5"/>
    <x v="0"/>
    <x v="0"/>
    <s v="Monthly house rent"/>
    <x v="0"/>
    <x v="0"/>
    <x v="0"/>
  </r>
  <r>
    <s v="TX0161"/>
    <x v="96"/>
    <x v="5"/>
    <x v="1"/>
    <x v="7"/>
    <s v="Cleaning supplies"/>
    <x v="3"/>
    <x v="1"/>
    <x v="147"/>
  </r>
  <r>
    <s v="TX0162"/>
    <x v="96"/>
    <x v="5"/>
    <x v="2"/>
    <x v="21"/>
    <s v="Uber ride"/>
    <x v="3"/>
    <x v="1"/>
    <x v="148"/>
  </r>
  <r>
    <s v="TX0163"/>
    <x v="97"/>
    <x v="5"/>
    <x v="1"/>
    <x v="1"/>
    <s v="Footwear"/>
    <x v="4"/>
    <x v="1"/>
    <x v="149"/>
  </r>
  <r>
    <s v="TX0164"/>
    <x v="98"/>
    <x v="5"/>
    <x v="3"/>
    <x v="15"/>
    <s v="Lunch with friends"/>
    <x v="1"/>
    <x v="1"/>
    <x v="150"/>
  </r>
  <r>
    <s v="TX0165"/>
    <x v="99"/>
    <x v="5"/>
    <x v="3"/>
    <x v="6"/>
    <s v="Local supermarket"/>
    <x v="1"/>
    <x v="0"/>
    <x v="151"/>
  </r>
  <r>
    <s v="TX0166"/>
    <x v="99"/>
    <x v="5"/>
    <x v="3"/>
    <x v="6"/>
    <s v="Vegetable market"/>
    <x v="3"/>
    <x v="0"/>
    <x v="152"/>
  </r>
  <r>
    <s v="TX0167"/>
    <x v="99"/>
    <x v="5"/>
    <x v="4"/>
    <x v="22"/>
    <s v="Fitness supplements"/>
    <x v="1"/>
    <x v="1"/>
    <x v="153"/>
  </r>
  <r>
    <s v="TX0168"/>
    <x v="100"/>
    <x v="5"/>
    <x v="3"/>
    <x v="3"/>
    <s v="Tea &amp; snacks"/>
    <x v="1"/>
    <x v="1"/>
    <x v="154"/>
  </r>
  <r>
    <s v="TX0169"/>
    <x v="100"/>
    <x v="5"/>
    <x v="1"/>
    <x v="7"/>
    <s v="Home decor"/>
    <x v="1"/>
    <x v="1"/>
    <x v="155"/>
  </r>
  <r>
    <s v="TX0170"/>
    <x v="100"/>
    <x v="5"/>
    <x v="1"/>
    <x v="7"/>
    <s v="Home decor"/>
    <x v="2"/>
    <x v="1"/>
    <x v="156"/>
  </r>
  <r>
    <s v="TX0171"/>
    <x v="101"/>
    <x v="5"/>
    <x v="3"/>
    <x v="6"/>
    <s v="Vegetable market"/>
    <x v="1"/>
    <x v="0"/>
    <x v="157"/>
  </r>
  <r>
    <s v="TX0172"/>
    <x v="101"/>
    <x v="5"/>
    <x v="3"/>
    <x v="3"/>
    <s v="Juice bar"/>
    <x v="1"/>
    <x v="1"/>
    <x v="158"/>
  </r>
  <r>
    <s v="TX0173"/>
    <x v="101"/>
    <x v="5"/>
    <x v="5"/>
    <x v="23"/>
    <s v="Electricity bill"/>
    <x v="1"/>
    <x v="0"/>
    <x v="159"/>
  </r>
  <r>
    <s v="TX0174"/>
    <x v="102"/>
    <x v="5"/>
    <x v="4"/>
    <x v="19"/>
    <s v="Clinic consultation"/>
    <x v="2"/>
    <x v="0"/>
    <x v="160"/>
  </r>
  <r>
    <s v="TX0175"/>
    <x v="102"/>
    <x v="5"/>
    <x v="0"/>
    <x v="26"/>
    <s v="Storage rack"/>
    <x v="4"/>
    <x v="1"/>
    <x v="161"/>
  </r>
  <r>
    <s v="TX0176"/>
    <x v="103"/>
    <x v="5"/>
    <x v="5"/>
    <x v="23"/>
    <s v="TNEB electricity bill"/>
    <x v="1"/>
    <x v="0"/>
    <x v="162"/>
  </r>
  <r>
    <s v="TX0177"/>
    <x v="104"/>
    <x v="5"/>
    <x v="5"/>
    <x v="23"/>
    <s v="TNEB electricity bill"/>
    <x v="1"/>
    <x v="0"/>
    <x v="163"/>
  </r>
  <r>
    <s v="TX0178"/>
    <x v="105"/>
    <x v="5"/>
    <x v="1"/>
    <x v="25"/>
    <s v="Power bank"/>
    <x v="3"/>
    <x v="1"/>
    <x v="164"/>
  </r>
  <r>
    <s v="TX0179"/>
    <x v="106"/>
    <x v="5"/>
    <x v="7"/>
    <x v="17"/>
    <s v="Netflix"/>
    <x v="1"/>
    <x v="1"/>
    <x v="42"/>
  </r>
  <r>
    <s v="TX0180"/>
    <x v="107"/>
    <x v="5"/>
    <x v="2"/>
    <x v="21"/>
    <s v="Auto fare"/>
    <x v="3"/>
    <x v="1"/>
    <x v="58"/>
  </r>
  <r>
    <s v="TX0181"/>
    <x v="107"/>
    <x v="5"/>
    <x v="5"/>
    <x v="8"/>
    <s v="Water can &amp; bill"/>
    <x v="4"/>
    <x v="0"/>
    <x v="165"/>
  </r>
  <r>
    <s v="TX0182"/>
    <x v="108"/>
    <x v="5"/>
    <x v="3"/>
    <x v="3"/>
    <s v="Juice bar"/>
    <x v="1"/>
    <x v="1"/>
    <x v="166"/>
  </r>
  <r>
    <s v="TX0183"/>
    <x v="109"/>
    <x v="5"/>
    <x v="3"/>
    <x v="15"/>
    <s v="Family dinner"/>
    <x v="4"/>
    <x v="1"/>
    <x v="167"/>
  </r>
  <r>
    <s v="TX0184"/>
    <x v="109"/>
    <x v="5"/>
    <x v="3"/>
    <x v="3"/>
    <s v="Bakery"/>
    <x v="1"/>
    <x v="1"/>
    <x v="168"/>
  </r>
  <r>
    <s v="TX0185"/>
    <x v="109"/>
    <x v="5"/>
    <x v="4"/>
    <x v="4"/>
    <s v="Term plan premium"/>
    <x v="4"/>
    <x v="0"/>
    <x v="169"/>
  </r>
  <r>
    <s v="TX0186"/>
    <x v="110"/>
    <x v="5"/>
    <x v="3"/>
    <x v="11"/>
    <s v="Swiggy order"/>
    <x v="2"/>
    <x v="1"/>
    <x v="170"/>
  </r>
  <r>
    <s v="TX0187"/>
    <x v="111"/>
    <x v="5"/>
    <x v="7"/>
    <x v="30"/>
    <s v="Gaming cafe"/>
    <x v="3"/>
    <x v="1"/>
    <x v="171"/>
  </r>
  <r>
    <s v="TX0188"/>
    <x v="112"/>
    <x v="5"/>
    <x v="2"/>
    <x v="13"/>
    <s v="Petrol - bike"/>
    <x v="1"/>
    <x v="0"/>
    <x v="172"/>
  </r>
  <r>
    <s v="TX0189"/>
    <x v="112"/>
    <x v="5"/>
    <x v="2"/>
    <x v="13"/>
    <s v="Petrol - bike"/>
    <x v="0"/>
    <x v="0"/>
    <x v="173"/>
  </r>
  <r>
    <s v="TX0190"/>
    <x v="113"/>
    <x v="5"/>
    <x v="1"/>
    <x v="10"/>
    <s v="Wallet &amp; bag"/>
    <x v="1"/>
    <x v="1"/>
    <x v="174"/>
  </r>
  <r>
    <s v="TX0191"/>
    <x v="114"/>
    <x v="5"/>
    <x v="2"/>
    <x v="21"/>
    <s v="Rapido ride"/>
    <x v="1"/>
    <x v="1"/>
    <x v="175"/>
  </r>
  <r>
    <s v="TX0192"/>
    <x v="115"/>
    <x v="5"/>
    <x v="1"/>
    <x v="25"/>
    <s v="Power bank"/>
    <x v="0"/>
    <x v="1"/>
    <x v="176"/>
  </r>
  <r>
    <s v="TX0193"/>
    <x v="115"/>
    <x v="5"/>
    <x v="2"/>
    <x v="2"/>
    <s v="Train ticket"/>
    <x v="1"/>
    <x v="0"/>
    <x v="177"/>
  </r>
  <r>
    <s v="TX0194"/>
    <x v="116"/>
    <x v="5"/>
    <x v="6"/>
    <x v="24"/>
    <s v="Exam registration"/>
    <x v="1"/>
    <x v="0"/>
    <x v="178"/>
  </r>
  <r>
    <s v="TX0195"/>
    <x v="116"/>
    <x v="5"/>
    <x v="2"/>
    <x v="13"/>
    <s v="Petrol - bike"/>
    <x v="4"/>
    <x v="0"/>
    <x v="179"/>
  </r>
  <r>
    <s v="TX0196"/>
    <x v="117"/>
    <x v="5"/>
    <x v="2"/>
    <x v="21"/>
    <s v="Auto fare"/>
    <x v="3"/>
    <x v="1"/>
    <x v="67"/>
  </r>
  <r>
    <s v="TX0197"/>
    <x v="118"/>
    <x v="5"/>
    <x v="2"/>
    <x v="2"/>
    <s v="Train ticket"/>
    <x v="0"/>
    <x v="0"/>
    <x v="180"/>
  </r>
  <r>
    <s v="TX0198"/>
    <x v="118"/>
    <x v="5"/>
    <x v="2"/>
    <x v="2"/>
    <s v="Metro card recharge"/>
    <x v="3"/>
    <x v="0"/>
    <x v="181"/>
  </r>
  <r>
    <s v="TX0199"/>
    <x v="119"/>
    <x v="6"/>
    <x v="5"/>
    <x v="27"/>
    <s v="Broadband bill"/>
    <x v="1"/>
    <x v="0"/>
    <x v="182"/>
  </r>
  <r>
    <s v="TX0200"/>
    <x v="119"/>
    <x v="6"/>
    <x v="5"/>
    <x v="8"/>
    <s v="Water can &amp; bill"/>
    <x v="1"/>
    <x v="0"/>
    <x v="183"/>
  </r>
  <r>
    <s v="TX0201"/>
    <x v="120"/>
    <x v="6"/>
    <x v="4"/>
    <x v="20"/>
    <s v="Prescription refill"/>
    <x v="1"/>
    <x v="0"/>
    <x v="184"/>
  </r>
  <r>
    <s v="TX0202"/>
    <x v="121"/>
    <x v="6"/>
    <x v="0"/>
    <x v="0"/>
    <s v="Monthly house rent"/>
    <x v="0"/>
    <x v="0"/>
    <x v="0"/>
  </r>
  <r>
    <s v="TX0203"/>
    <x v="121"/>
    <x v="6"/>
    <x v="2"/>
    <x v="21"/>
    <s v="Rapido ride"/>
    <x v="3"/>
    <x v="1"/>
    <x v="185"/>
  </r>
  <r>
    <s v="TX0204"/>
    <x v="121"/>
    <x v="6"/>
    <x v="5"/>
    <x v="27"/>
    <s v="Wi-Fi renewal"/>
    <x v="1"/>
    <x v="0"/>
    <x v="62"/>
  </r>
  <r>
    <s v="TX0205"/>
    <x v="122"/>
    <x v="6"/>
    <x v="4"/>
    <x v="22"/>
    <s v="Fitness supplements"/>
    <x v="1"/>
    <x v="1"/>
    <x v="186"/>
  </r>
  <r>
    <s v="TX0206"/>
    <x v="123"/>
    <x v="6"/>
    <x v="4"/>
    <x v="19"/>
    <s v="Dental check-up"/>
    <x v="2"/>
    <x v="0"/>
    <x v="187"/>
  </r>
  <r>
    <s v="TX0207"/>
    <x v="124"/>
    <x v="6"/>
    <x v="2"/>
    <x v="13"/>
    <s v="Petrol - car"/>
    <x v="2"/>
    <x v="0"/>
    <x v="188"/>
  </r>
  <r>
    <s v="TX0208"/>
    <x v="125"/>
    <x v="6"/>
    <x v="4"/>
    <x v="19"/>
    <s v="Eye check-up"/>
    <x v="1"/>
    <x v="0"/>
    <x v="189"/>
  </r>
  <r>
    <s v="TX0209"/>
    <x v="126"/>
    <x v="6"/>
    <x v="3"/>
    <x v="6"/>
    <s v="Reliance Fresh"/>
    <x v="1"/>
    <x v="0"/>
    <x v="190"/>
  </r>
  <r>
    <s v="TX0210"/>
    <x v="127"/>
    <x v="6"/>
    <x v="7"/>
    <x v="18"/>
    <s v="IMAX show"/>
    <x v="2"/>
    <x v="1"/>
    <x v="191"/>
  </r>
  <r>
    <s v="TX0211"/>
    <x v="127"/>
    <x v="6"/>
    <x v="3"/>
    <x v="3"/>
    <s v="Juice bar"/>
    <x v="4"/>
    <x v="1"/>
    <x v="192"/>
  </r>
  <r>
    <s v="TX0212"/>
    <x v="127"/>
    <x v="6"/>
    <x v="3"/>
    <x v="6"/>
    <s v="Reliance Fresh"/>
    <x v="1"/>
    <x v="0"/>
    <x v="193"/>
  </r>
  <r>
    <s v="TX0213"/>
    <x v="128"/>
    <x v="6"/>
    <x v="6"/>
    <x v="28"/>
    <s v="Certification course"/>
    <x v="1"/>
    <x v="0"/>
    <x v="194"/>
  </r>
  <r>
    <s v="TX0214"/>
    <x v="128"/>
    <x v="6"/>
    <x v="2"/>
    <x v="21"/>
    <s v="Auto fare"/>
    <x v="2"/>
    <x v="1"/>
    <x v="195"/>
  </r>
  <r>
    <s v="TX0215"/>
    <x v="129"/>
    <x v="6"/>
    <x v="4"/>
    <x v="22"/>
    <s v="Fitness supplements"/>
    <x v="3"/>
    <x v="1"/>
    <x v="196"/>
  </r>
  <r>
    <s v="TX0216"/>
    <x v="129"/>
    <x v="6"/>
    <x v="0"/>
    <x v="5"/>
    <s v="Cleaning service"/>
    <x v="1"/>
    <x v="0"/>
    <x v="197"/>
  </r>
  <r>
    <s v="TX0217"/>
    <x v="129"/>
    <x v="6"/>
    <x v="0"/>
    <x v="26"/>
    <s v="Storage rack"/>
    <x v="2"/>
    <x v="1"/>
    <x v="198"/>
  </r>
  <r>
    <s v="TX0218"/>
    <x v="130"/>
    <x v="6"/>
    <x v="6"/>
    <x v="9"/>
    <s v="Stationery"/>
    <x v="3"/>
    <x v="0"/>
    <x v="199"/>
  </r>
  <r>
    <s v="TX0219"/>
    <x v="131"/>
    <x v="6"/>
    <x v="3"/>
    <x v="11"/>
    <s v="Zomato order"/>
    <x v="1"/>
    <x v="1"/>
    <x v="200"/>
  </r>
  <r>
    <s v="TX0220"/>
    <x v="131"/>
    <x v="6"/>
    <x v="1"/>
    <x v="25"/>
    <s v="Power bank"/>
    <x v="4"/>
    <x v="1"/>
    <x v="201"/>
  </r>
  <r>
    <s v="TX0221"/>
    <x v="131"/>
    <x v="6"/>
    <x v="2"/>
    <x v="2"/>
    <s v="Bus ticket"/>
    <x v="4"/>
    <x v="0"/>
    <x v="202"/>
  </r>
  <r>
    <s v="TX0222"/>
    <x v="132"/>
    <x v="6"/>
    <x v="3"/>
    <x v="15"/>
    <s v="Family dinner"/>
    <x v="4"/>
    <x v="1"/>
    <x v="203"/>
  </r>
  <r>
    <s v="TX0223"/>
    <x v="132"/>
    <x v="6"/>
    <x v="0"/>
    <x v="16"/>
    <s v="Appliance repair"/>
    <x v="1"/>
    <x v="0"/>
    <x v="204"/>
  </r>
  <r>
    <s v="TX0224"/>
    <x v="133"/>
    <x v="6"/>
    <x v="3"/>
    <x v="3"/>
    <s v="Bakery"/>
    <x v="1"/>
    <x v="1"/>
    <x v="205"/>
  </r>
  <r>
    <s v="TX0225"/>
    <x v="134"/>
    <x v="6"/>
    <x v="6"/>
    <x v="28"/>
    <s v="Certification course"/>
    <x v="1"/>
    <x v="0"/>
    <x v="206"/>
  </r>
  <r>
    <s v="TX0226"/>
    <x v="134"/>
    <x v="6"/>
    <x v="2"/>
    <x v="21"/>
    <s v="Uber ride"/>
    <x v="1"/>
    <x v="1"/>
    <x v="43"/>
  </r>
  <r>
    <s v="TX0227"/>
    <x v="135"/>
    <x v="6"/>
    <x v="7"/>
    <x v="14"/>
    <s v="Amusement park"/>
    <x v="4"/>
    <x v="1"/>
    <x v="207"/>
  </r>
  <r>
    <s v="TX0228"/>
    <x v="136"/>
    <x v="6"/>
    <x v="3"/>
    <x v="3"/>
    <s v="Tea &amp; snacks"/>
    <x v="4"/>
    <x v="1"/>
    <x v="208"/>
  </r>
  <r>
    <s v="TX0229"/>
    <x v="137"/>
    <x v="6"/>
    <x v="4"/>
    <x v="4"/>
    <s v="Health insurance premium"/>
    <x v="1"/>
    <x v="0"/>
    <x v="209"/>
  </r>
  <r>
    <s v="TX0230"/>
    <x v="137"/>
    <x v="6"/>
    <x v="1"/>
    <x v="10"/>
    <s v="Sunglasses"/>
    <x v="1"/>
    <x v="1"/>
    <x v="210"/>
  </r>
  <r>
    <s v="TX0231"/>
    <x v="138"/>
    <x v="7"/>
    <x v="3"/>
    <x v="6"/>
    <s v="Local supermarket"/>
    <x v="1"/>
    <x v="0"/>
    <x v="211"/>
  </r>
  <r>
    <s v="TX0232"/>
    <x v="138"/>
    <x v="7"/>
    <x v="4"/>
    <x v="20"/>
    <s v="Pharmacy purchase"/>
    <x v="1"/>
    <x v="0"/>
    <x v="212"/>
  </r>
  <r>
    <s v="TX0233"/>
    <x v="139"/>
    <x v="7"/>
    <x v="5"/>
    <x v="27"/>
    <s v="Broadband bill"/>
    <x v="1"/>
    <x v="0"/>
    <x v="213"/>
  </r>
  <r>
    <s v="TX0234"/>
    <x v="140"/>
    <x v="7"/>
    <x v="3"/>
    <x v="11"/>
    <s v="Swiggy order"/>
    <x v="2"/>
    <x v="1"/>
    <x v="214"/>
  </r>
  <r>
    <s v="TX0235"/>
    <x v="141"/>
    <x v="7"/>
    <x v="3"/>
    <x v="11"/>
    <s v="Pizza delivery"/>
    <x v="1"/>
    <x v="1"/>
    <x v="215"/>
  </r>
  <r>
    <s v="TX0236"/>
    <x v="141"/>
    <x v="7"/>
    <x v="3"/>
    <x v="15"/>
    <s v="South Indian meals"/>
    <x v="4"/>
    <x v="1"/>
    <x v="216"/>
  </r>
  <r>
    <s v="TX0237"/>
    <x v="141"/>
    <x v="7"/>
    <x v="0"/>
    <x v="0"/>
    <s v="Monthly house rent"/>
    <x v="0"/>
    <x v="0"/>
    <x v="0"/>
  </r>
  <r>
    <s v="TX0238"/>
    <x v="142"/>
    <x v="7"/>
    <x v="3"/>
    <x v="15"/>
    <s v="Family dinner"/>
    <x v="2"/>
    <x v="1"/>
    <x v="89"/>
  </r>
  <r>
    <s v="TX0239"/>
    <x v="143"/>
    <x v="7"/>
    <x v="7"/>
    <x v="18"/>
    <s v="Multiplex combo"/>
    <x v="1"/>
    <x v="1"/>
    <x v="81"/>
  </r>
  <r>
    <s v="TX0240"/>
    <x v="143"/>
    <x v="7"/>
    <x v="3"/>
    <x v="3"/>
    <s v="Tea &amp; snacks"/>
    <x v="1"/>
    <x v="1"/>
    <x v="205"/>
  </r>
  <r>
    <s v="TX0241"/>
    <x v="143"/>
    <x v="7"/>
    <x v="2"/>
    <x v="12"/>
    <s v="Family visit travel"/>
    <x v="1"/>
    <x v="1"/>
    <x v="217"/>
  </r>
  <r>
    <s v="TX0242"/>
    <x v="144"/>
    <x v="7"/>
    <x v="1"/>
    <x v="10"/>
    <s v="Watch"/>
    <x v="4"/>
    <x v="1"/>
    <x v="218"/>
  </r>
  <r>
    <s v="TX0243"/>
    <x v="144"/>
    <x v="7"/>
    <x v="1"/>
    <x v="1"/>
    <s v="Footwear"/>
    <x v="1"/>
    <x v="1"/>
    <x v="219"/>
  </r>
  <r>
    <s v="TX0244"/>
    <x v="144"/>
    <x v="7"/>
    <x v="2"/>
    <x v="21"/>
    <s v="Uber ride"/>
    <x v="4"/>
    <x v="1"/>
    <x v="220"/>
  </r>
  <r>
    <s v="TX0245"/>
    <x v="145"/>
    <x v="7"/>
    <x v="5"/>
    <x v="27"/>
    <s v="Broadband bill"/>
    <x v="4"/>
    <x v="0"/>
    <x v="221"/>
  </r>
  <r>
    <s v="TX0246"/>
    <x v="146"/>
    <x v="7"/>
    <x v="2"/>
    <x v="2"/>
    <s v="Train ticket"/>
    <x v="3"/>
    <x v="0"/>
    <x v="222"/>
  </r>
  <r>
    <s v="TX0247"/>
    <x v="146"/>
    <x v="7"/>
    <x v="2"/>
    <x v="12"/>
    <s v="Hotel stay"/>
    <x v="2"/>
    <x v="1"/>
    <x v="223"/>
  </r>
  <r>
    <s v="TX0248"/>
    <x v="147"/>
    <x v="7"/>
    <x v="3"/>
    <x v="15"/>
    <s v="Family dinner"/>
    <x v="1"/>
    <x v="1"/>
    <x v="224"/>
  </r>
  <r>
    <s v="TX0249"/>
    <x v="148"/>
    <x v="7"/>
    <x v="7"/>
    <x v="17"/>
    <s v="Netflix"/>
    <x v="1"/>
    <x v="1"/>
    <x v="225"/>
  </r>
  <r>
    <s v="TX0250"/>
    <x v="148"/>
    <x v="7"/>
    <x v="2"/>
    <x v="12"/>
    <s v="Weekend trip"/>
    <x v="2"/>
    <x v="1"/>
    <x v="226"/>
  </r>
  <r>
    <s v="TX0251"/>
    <x v="149"/>
    <x v="7"/>
    <x v="6"/>
    <x v="24"/>
    <s v="Exam registration"/>
    <x v="1"/>
    <x v="0"/>
    <x v="227"/>
  </r>
  <r>
    <s v="TX0252"/>
    <x v="149"/>
    <x v="7"/>
    <x v="1"/>
    <x v="10"/>
    <s v="Sunglasses"/>
    <x v="1"/>
    <x v="1"/>
    <x v="228"/>
  </r>
  <r>
    <s v="TX0253"/>
    <x v="150"/>
    <x v="7"/>
    <x v="3"/>
    <x v="3"/>
    <s v="Juice bar"/>
    <x v="1"/>
    <x v="1"/>
    <x v="229"/>
  </r>
  <r>
    <s v="TX0254"/>
    <x v="151"/>
    <x v="7"/>
    <x v="6"/>
    <x v="28"/>
    <s v="Certification course"/>
    <x v="4"/>
    <x v="0"/>
    <x v="230"/>
  </r>
  <r>
    <s v="TX0255"/>
    <x v="151"/>
    <x v="7"/>
    <x v="4"/>
    <x v="19"/>
    <s v="Eye check-up"/>
    <x v="1"/>
    <x v="0"/>
    <x v="231"/>
  </r>
  <r>
    <s v="TX0256"/>
    <x v="152"/>
    <x v="7"/>
    <x v="1"/>
    <x v="1"/>
    <s v="Footwear"/>
    <x v="2"/>
    <x v="1"/>
    <x v="232"/>
  </r>
  <r>
    <s v="TX0257"/>
    <x v="153"/>
    <x v="7"/>
    <x v="6"/>
    <x v="29"/>
    <s v="Coding platform"/>
    <x v="1"/>
    <x v="1"/>
    <x v="233"/>
  </r>
  <r>
    <s v="TX0258"/>
    <x v="154"/>
    <x v="7"/>
    <x v="2"/>
    <x v="21"/>
    <s v="Auto fare"/>
    <x v="1"/>
    <x v="1"/>
    <x v="234"/>
  </r>
  <r>
    <s v="TX0259"/>
    <x v="155"/>
    <x v="7"/>
    <x v="3"/>
    <x v="11"/>
    <s v="Late-night delivery"/>
    <x v="4"/>
    <x v="1"/>
    <x v="235"/>
  </r>
  <r>
    <s v="TX0260"/>
    <x v="156"/>
    <x v="7"/>
    <x v="1"/>
    <x v="25"/>
    <s v="Phone accessory"/>
    <x v="2"/>
    <x v="1"/>
    <x v="236"/>
  </r>
  <r>
    <s v="TX0261"/>
    <x v="157"/>
    <x v="7"/>
    <x v="3"/>
    <x v="15"/>
    <s v="Biryani house"/>
    <x v="4"/>
    <x v="1"/>
    <x v="237"/>
  </r>
  <r>
    <s v="TX0262"/>
    <x v="157"/>
    <x v="7"/>
    <x v="1"/>
    <x v="1"/>
    <s v="Shirt &amp; jeans"/>
    <x v="4"/>
    <x v="1"/>
    <x v="238"/>
  </r>
  <r>
    <s v="TX0263"/>
    <x v="158"/>
    <x v="7"/>
    <x v="3"/>
    <x v="15"/>
    <s v="Lunch with friends"/>
    <x v="1"/>
    <x v="1"/>
    <x v="239"/>
  </r>
  <r>
    <s v="TX0264"/>
    <x v="158"/>
    <x v="7"/>
    <x v="4"/>
    <x v="19"/>
    <s v="Clinic consultation"/>
    <x v="2"/>
    <x v="0"/>
    <x v="240"/>
  </r>
  <r>
    <s v="TX0265"/>
    <x v="159"/>
    <x v="8"/>
    <x v="3"/>
    <x v="15"/>
    <s v="Biryani house"/>
    <x v="1"/>
    <x v="1"/>
    <x v="241"/>
  </r>
  <r>
    <s v="TX0266"/>
    <x v="159"/>
    <x v="8"/>
    <x v="0"/>
    <x v="5"/>
    <s v="Society maintenance"/>
    <x v="1"/>
    <x v="0"/>
    <x v="242"/>
  </r>
  <r>
    <s v="TX0267"/>
    <x v="160"/>
    <x v="8"/>
    <x v="4"/>
    <x v="4"/>
    <s v="Health insurance premium"/>
    <x v="1"/>
    <x v="0"/>
    <x v="243"/>
  </r>
  <r>
    <s v="TX0268"/>
    <x v="160"/>
    <x v="8"/>
    <x v="0"/>
    <x v="0"/>
    <s v="Monthly house rent"/>
    <x v="0"/>
    <x v="0"/>
    <x v="0"/>
  </r>
  <r>
    <s v="TX0269"/>
    <x v="161"/>
    <x v="8"/>
    <x v="1"/>
    <x v="1"/>
    <s v="Footwear"/>
    <x v="0"/>
    <x v="1"/>
    <x v="244"/>
  </r>
  <r>
    <s v="TX0270"/>
    <x v="162"/>
    <x v="8"/>
    <x v="7"/>
    <x v="30"/>
    <s v="Game top-up"/>
    <x v="0"/>
    <x v="1"/>
    <x v="245"/>
  </r>
  <r>
    <s v="TX0271"/>
    <x v="162"/>
    <x v="8"/>
    <x v="7"/>
    <x v="17"/>
    <s v="Amazon Prime"/>
    <x v="4"/>
    <x v="1"/>
    <x v="148"/>
  </r>
  <r>
    <s v="TX0272"/>
    <x v="162"/>
    <x v="8"/>
    <x v="3"/>
    <x v="6"/>
    <s v="BigBasket order"/>
    <x v="4"/>
    <x v="0"/>
    <x v="246"/>
  </r>
  <r>
    <s v="TX0273"/>
    <x v="163"/>
    <x v="8"/>
    <x v="6"/>
    <x v="28"/>
    <s v="Certification course"/>
    <x v="0"/>
    <x v="0"/>
    <x v="247"/>
  </r>
  <r>
    <s v="TX0274"/>
    <x v="163"/>
    <x v="8"/>
    <x v="7"/>
    <x v="30"/>
    <s v="Gaming cafe"/>
    <x v="1"/>
    <x v="1"/>
    <x v="91"/>
  </r>
  <r>
    <s v="TX0275"/>
    <x v="163"/>
    <x v="8"/>
    <x v="3"/>
    <x v="3"/>
    <s v="Tea &amp; snacks"/>
    <x v="1"/>
    <x v="1"/>
    <x v="248"/>
  </r>
  <r>
    <s v="TX0276"/>
    <x v="163"/>
    <x v="8"/>
    <x v="3"/>
    <x v="3"/>
    <s v="Coffee shop"/>
    <x v="4"/>
    <x v="1"/>
    <x v="249"/>
  </r>
  <r>
    <s v="TX0277"/>
    <x v="163"/>
    <x v="8"/>
    <x v="3"/>
    <x v="11"/>
    <s v="Swiggy order"/>
    <x v="1"/>
    <x v="1"/>
    <x v="250"/>
  </r>
  <r>
    <s v="TX0278"/>
    <x v="164"/>
    <x v="8"/>
    <x v="0"/>
    <x v="5"/>
    <s v="Cleaning service"/>
    <x v="1"/>
    <x v="0"/>
    <x v="251"/>
  </r>
  <r>
    <s v="TX0279"/>
    <x v="165"/>
    <x v="8"/>
    <x v="4"/>
    <x v="4"/>
    <s v="Term plan premium"/>
    <x v="2"/>
    <x v="0"/>
    <x v="252"/>
  </r>
  <r>
    <s v="TX0280"/>
    <x v="166"/>
    <x v="8"/>
    <x v="3"/>
    <x v="3"/>
    <s v="Coffee shop"/>
    <x v="3"/>
    <x v="1"/>
    <x v="253"/>
  </r>
  <r>
    <s v="TX0281"/>
    <x v="167"/>
    <x v="8"/>
    <x v="7"/>
    <x v="18"/>
    <s v="Movie tickets"/>
    <x v="1"/>
    <x v="1"/>
    <x v="254"/>
  </r>
  <r>
    <s v="TX0282"/>
    <x v="168"/>
    <x v="8"/>
    <x v="3"/>
    <x v="6"/>
    <s v="BigBasket order"/>
    <x v="1"/>
    <x v="0"/>
    <x v="255"/>
  </r>
  <r>
    <s v="TX0283"/>
    <x v="169"/>
    <x v="8"/>
    <x v="1"/>
    <x v="25"/>
    <s v="Phone accessory"/>
    <x v="1"/>
    <x v="1"/>
    <x v="256"/>
  </r>
  <r>
    <s v="TX0284"/>
    <x v="170"/>
    <x v="8"/>
    <x v="5"/>
    <x v="31"/>
    <s v="Jio recharge"/>
    <x v="4"/>
    <x v="0"/>
    <x v="257"/>
  </r>
  <r>
    <s v="TX0285"/>
    <x v="171"/>
    <x v="8"/>
    <x v="2"/>
    <x v="13"/>
    <s v="Petrol - bike"/>
    <x v="3"/>
    <x v="0"/>
    <x v="258"/>
  </r>
  <r>
    <s v="TX0286"/>
    <x v="172"/>
    <x v="8"/>
    <x v="5"/>
    <x v="31"/>
    <s v="Jio recharge"/>
    <x v="1"/>
    <x v="0"/>
    <x v="259"/>
  </r>
  <r>
    <s v="TX0287"/>
    <x v="172"/>
    <x v="8"/>
    <x v="5"/>
    <x v="8"/>
    <s v="Gas cylinder"/>
    <x v="3"/>
    <x v="0"/>
    <x v="260"/>
  </r>
  <r>
    <s v="TX0288"/>
    <x v="173"/>
    <x v="8"/>
    <x v="6"/>
    <x v="28"/>
    <s v="Online course"/>
    <x v="1"/>
    <x v="0"/>
    <x v="261"/>
  </r>
  <r>
    <s v="TX0289"/>
    <x v="173"/>
    <x v="8"/>
    <x v="7"/>
    <x v="17"/>
    <s v="Spotify"/>
    <x v="1"/>
    <x v="1"/>
    <x v="262"/>
  </r>
  <r>
    <s v="TX0290"/>
    <x v="173"/>
    <x v="8"/>
    <x v="0"/>
    <x v="5"/>
    <s v="Society maintenance"/>
    <x v="1"/>
    <x v="0"/>
    <x v="263"/>
  </r>
  <r>
    <s v="TX0291"/>
    <x v="173"/>
    <x v="8"/>
    <x v="0"/>
    <x v="16"/>
    <s v="Electrical repair"/>
    <x v="3"/>
    <x v="0"/>
    <x v="264"/>
  </r>
  <r>
    <s v="TX0292"/>
    <x v="173"/>
    <x v="8"/>
    <x v="1"/>
    <x v="1"/>
    <s v="Festival wear"/>
    <x v="1"/>
    <x v="1"/>
    <x v="265"/>
  </r>
  <r>
    <s v="TX0293"/>
    <x v="173"/>
    <x v="8"/>
    <x v="5"/>
    <x v="31"/>
    <s v="Airtel recharge"/>
    <x v="1"/>
    <x v="0"/>
    <x v="266"/>
  </r>
  <r>
    <s v="TX0294"/>
    <x v="173"/>
    <x v="8"/>
    <x v="5"/>
    <x v="27"/>
    <s v="Wi-Fi renewal"/>
    <x v="4"/>
    <x v="0"/>
    <x v="267"/>
  </r>
  <r>
    <s v="TX0295"/>
    <x v="174"/>
    <x v="8"/>
    <x v="3"/>
    <x v="15"/>
    <s v="South Indian meals"/>
    <x v="3"/>
    <x v="1"/>
    <x v="268"/>
  </r>
  <r>
    <s v="TX0296"/>
    <x v="174"/>
    <x v="8"/>
    <x v="2"/>
    <x v="13"/>
    <s v="Petrol - bike"/>
    <x v="1"/>
    <x v="0"/>
    <x v="269"/>
  </r>
  <r>
    <s v="TX0297"/>
    <x v="175"/>
    <x v="8"/>
    <x v="1"/>
    <x v="25"/>
    <s v="Power bank"/>
    <x v="1"/>
    <x v="1"/>
    <x v="270"/>
  </r>
  <r>
    <s v="TX0298"/>
    <x v="176"/>
    <x v="8"/>
    <x v="7"/>
    <x v="18"/>
    <s v="Movie tickets"/>
    <x v="1"/>
    <x v="1"/>
    <x v="271"/>
  </r>
  <r>
    <s v="TX0299"/>
    <x v="176"/>
    <x v="8"/>
    <x v="3"/>
    <x v="15"/>
    <s v="South Indian meals"/>
    <x v="2"/>
    <x v="1"/>
    <x v="103"/>
  </r>
  <r>
    <s v="TX0300"/>
    <x v="177"/>
    <x v="8"/>
    <x v="3"/>
    <x v="15"/>
    <s v="South Indian meals"/>
    <x v="1"/>
    <x v="1"/>
    <x v="272"/>
  </r>
  <r>
    <s v="TX0301"/>
    <x v="178"/>
    <x v="8"/>
    <x v="3"/>
    <x v="6"/>
    <s v="Vegetable market"/>
    <x v="3"/>
    <x v="0"/>
    <x v="123"/>
  </r>
  <r>
    <s v="TX0302"/>
    <x v="178"/>
    <x v="8"/>
    <x v="4"/>
    <x v="20"/>
    <s v="Vitamins"/>
    <x v="3"/>
    <x v="0"/>
    <x v="273"/>
  </r>
  <r>
    <s v="TX0303"/>
    <x v="178"/>
    <x v="8"/>
    <x v="2"/>
    <x v="2"/>
    <s v="Train ticket"/>
    <x v="1"/>
    <x v="0"/>
    <x v="274"/>
  </r>
  <r>
    <s v="TX0304"/>
    <x v="179"/>
    <x v="9"/>
    <x v="5"/>
    <x v="27"/>
    <s v="Wi-Fi renewal"/>
    <x v="1"/>
    <x v="0"/>
    <x v="275"/>
  </r>
  <r>
    <s v="TX0305"/>
    <x v="180"/>
    <x v="9"/>
    <x v="3"/>
    <x v="11"/>
    <s v="Swiggy order"/>
    <x v="2"/>
    <x v="1"/>
    <x v="276"/>
  </r>
  <r>
    <s v="TX0306"/>
    <x v="180"/>
    <x v="9"/>
    <x v="3"/>
    <x v="6"/>
    <s v="Local supermarket"/>
    <x v="1"/>
    <x v="0"/>
    <x v="277"/>
  </r>
  <r>
    <s v="TX0307"/>
    <x v="180"/>
    <x v="9"/>
    <x v="0"/>
    <x v="16"/>
    <s v="Appliance repair"/>
    <x v="1"/>
    <x v="0"/>
    <x v="278"/>
  </r>
  <r>
    <s v="TX0308"/>
    <x v="180"/>
    <x v="9"/>
    <x v="5"/>
    <x v="27"/>
    <s v="Broadband bill"/>
    <x v="1"/>
    <x v="0"/>
    <x v="279"/>
  </r>
  <r>
    <s v="TX0309"/>
    <x v="181"/>
    <x v="9"/>
    <x v="6"/>
    <x v="24"/>
    <s v="Mock test series"/>
    <x v="2"/>
    <x v="0"/>
    <x v="280"/>
  </r>
  <r>
    <s v="TX0310"/>
    <x v="181"/>
    <x v="9"/>
    <x v="0"/>
    <x v="0"/>
    <s v="Monthly house rent"/>
    <x v="0"/>
    <x v="0"/>
    <x v="0"/>
  </r>
  <r>
    <s v="TX0311"/>
    <x v="181"/>
    <x v="9"/>
    <x v="2"/>
    <x v="12"/>
    <s v="Family visit travel"/>
    <x v="4"/>
    <x v="1"/>
    <x v="281"/>
  </r>
  <r>
    <s v="TX0312"/>
    <x v="182"/>
    <x v="9"/>
    <x v="3"/>
    <x v="6"/>
    <s v="Reliance Fresh"/>
    <x v="4"/>
    <x v="0"/>
    <x v="282"/>
  </r>
  <r>
    <s v="TX0313"/>
    <x v="183"/>
    <x v="9"/>
    <x v="6"/>
    <x v="29"/>
    <s v="Coursera plan"/>
    <x v="4"/>
    <x v="1"/>
    <x v="283"/>
  </r>
  <r>
    <s v="TX0314"/>
    <x v="183"/>
    <x v="9"/>
    <x v="7"/>
    <x v="30"/>
    <s v="Game top-up"/>
    <x v="3"/>
    <x v="1"/>
    <x v="284"/>
  </r>
  <r>
    <s v="TX0315"/>
    <x v="183"/>
    <x v="9"/>
    <x v="3"/>
    <x v="15"/>
    <s v="Family dinner"/>
    <x v="0"/>
    <x v="1"/>
    <x v="274"/>
  </r>
  <r>
    <s v="TX0316"/>
    <x v="184"/>
    <x v="9"/>
    <x v="3"/>
    <x v="3"/>
    <s v="Tea &amp; snacks"/>
    <x v="2"/>
    <x v="1"/>
    <x v="111"/>
  </r>
  <r>
    <s v="TX0317"/>
    <x v="185"/>
    <x v="9"/>
    <x v="6"/>
    <x v="9"/>
    <s v="Textbooks"/>
    <x v="1"/>
    <x v="0"/>
    <x v="285"/>
  </r>
  <r>
    <s v="TX0318"/>
    <x v="185"/>
    <x v="9"/>
    <x v="2"/>
    <x v="12"/>
    <s v="Family visit travel"/>
    <x v="3"/>
    <x v="1"/>
    <x v="286"/>
  </r>
  <r>
    <s v="TX0319"/>
    <x v="186"/>
    <x v="9"/>
    <x v="7"/>
    <x v="18"/>
    <s v="Multiplex combo"/>
    <x v="4"/>
    <x v="1"/>
    <x v="216"/>
  </r>
  <r>
    <s v="TX0320"/>
    <x v="186"/>
    <x v="9"/>
    <x v="3"/>
    <x v="11"/>
    <s v="Pizza delivery"/>
    <x v="3"/>
    <x v="1"/>
    <x v="94"/>
  </r>
  <r>
    <s v="TX0321"/>
    <x v="186"/>
    <x v="9"/>
    <x v="5"/>
    <x v="8"/>
    <s v="Water can &amp; bill"/>
    <x v="1"/>
    <x v="0"/>
    <x v="287"/>
  </r>
  <r>
    <s v="TX0322"/>
    <x v="187"/>
    <x v="9"/>
    <x v="1"/>
    <x v="25"/>
    <s v="Phone accessory"/>
    <x v="4"/>
    <x v="1"/>
    <x v="288"/>
  </r>
  <r>
    <s v="TX0323"/>
    <x v="188"/>
    <x v="9"/>
    <x v="5"/>
    <x v="31"/>
    <s v="Airtel recharge"/>
    <x v="1"/>
    <x v="0"/>
    <x v="289"/>
  </r>
  <r>
    <s v="TX0324"/>
    <x v="189"/>
    <x v="9"/>
    <x v="2"/>
    <x v="21"/>
    <s v="Rapido ride"/>
    <x v="2"/>
    <x v="1"/>
    <x v="290"/>
  </r>
  <r>
    <s v="TX0325"/>
    <x v="190"/>
    <x v="9"/>
    <x v="6"/>
    <x v="29"/>
    <s v="LinkedIn Learning"/>
    <x v="0"/>
    <x v="1"/>
    <x v="291"/>
  </r>
  <r>
    <s v="TX0326"/>
    <x v="191"/>
    <x v="9"/>
    <x v="1"/>
    <x v="1"/>
    <s v="Footwear"/>
    <x v="1"/>
    <x v="1"/>
    <x v="292"/>
  </r>
  <r>
    <s v="TX0327"/>
    <x v="192"/>
    <x v="9"/>
    <x v="4"/>
    <x v="19"/>
    <s v="Eye check-up"/>
    <x v="1"/>
    <x v="0"/>
    <x v="293"/>
  </r>
  <r>
    <s v="TX0328"/>
    <x v="193"/>
    <x v="9"/>
    <x v="3"/>
    <x v="15"/>
    <s v="Family dinner"/>
    <x v="3"/>
    <x v="1"/>
    <x v="294"/>
  </r>
  <r>
    <s v="TX0329"/>
    <x v="194"/>
    <x v="9"/>
    <x v="7"/>
    <x v="30"/>
    <s v="Steam purchase"/>
    <x v="1"/>
    <x v="1"/>
    <x v="295"/>
  </r>
  <r>
    <s v="TX0330"/>
    <x v="194"/>
    <x v="9"/>
    <x v="3"/>
    <x v="11"/>
    <s v="Pizza delivery"/>
    <x v="2"/>
    <x v="1"/>
    <x v="296"/>
  </r>
  <r>
    <s v="TX0331"/>
    <x v="194"/>
    <x v="9"/>
    <x v="3"/>
    <x v="3"/>
    <s v="Tea &amp; snacks"/>
    <x v="1"/>
    <x v="1"/>
    <x v="297"/>
  </r>
  <r>
    <s v="TX0332"/>
    <x v="195"/>
    <x v="9"/>
    <x v="4"/>
    <x v="4"/>
    <s v="Health insurance premium"/>
    <x v="1"/>
    <x v="0"/>
    <x v="298"/>
  </r>
  <r>
    <s v="TX0333"/>
    <x v="195"/>
    <x v="9"/>
    <x v="2"/>
    <x v="21"/>
    <s v="Uber ride"/>
    <x v="3"/>
    <x v="1"/>
    <x v="299"/>
  </r>
  <r>
    <s v="TX0334"/>
    <x v="196"/>
    <x v="9"/>
    <x v="3"/>
    <x v="11"/>
    <s v="Late-night delivery"/>
    <x v="4"/>
    <x v="1"/>
    <x v="274"/>
  </r>
  <r>
    <s v="TX0335"/>
    <x v="197"/>
    <x v="9"/>
    <x v="2"/>
    <x v="2"/>
    <s v="Bus ticket"/>
    <x v="4"/>
    <x v="0"/>
    <x v="300"/>
  </r>
  <r>
    <s v="TX0336"/>
    <x v="198"/>
    <x v="9"/>
    <x v="4"/>
    <x v="4"/>
    <s v="Health insurance premium"/>
    <x v="1"/>
    <x v="0"/>
    <x v="301"/>
  </r>
  <r>
    <s v="TX0337"/>
    <x v="199"/>
    <x v="9"/>
    <x v="5"/>
    <x v="23"/>
    <s v="Electricity bill"/>
    <x v="2"/>
    <x v="0"/>
    <x v="302"/>
  </r>
  <r>
    <s v="TX0338"/>
    <x v="200"/>
    <x v="9"/>
    <x v="3"/>
    <x v="11"/>
    <s v="Late-night delivery"/>
    <x v="1"/>
    <x v="1"/>
    <x v="303"/>
  </r>
  <r>
    <s v="TX0339"/>
    <x v="200"/>
    <x v="9"/>
    <x v="1"/>
    <x v="10"/>
    <s v="Wallet &amp; bag"/>
    <x v="1"/>
    <x v="1"/>
    <x v="304"/>
  </r>
  <r>
    <s v="TX0340"/>
    <x v="200"/>
    <x v="9"/>
    <x v="1"/>
    <x v="7"/>
    <s v="Kitchen items"/>
    <x v="1"/>
    <x v="1"/>
    <x v="305"/>
  </r>
  <r>
    <s v="TX0341"/>
    <x v="201"/>
    <x v="10"/>
    <x v="0"/>
    <x v="16"/>
    <s v="Appliance repair"/>
    <x v="1"/>
    <x v="0"/>
    <x v="306"/>
  </r>
  <r>
    <s v="TX0342"/>
    <x v="202"/>
    <x v="10"/>
    <x v="6"/>
    <x v="24"/>
    <s v="Mock test series"/>
    <x v="3"/>
    <x v="0"/>
    <x v="307"/>
  </r>
  <r>
    <s v="TX0343"/>
    <x v="202"/>
    <x v="10"/>
    <x v="7"/>
    <x v="18"/>
    <s v="Multiplex combo"/>
    <x v="1"/>
    <x v="1"/>
    <x v="308"/>
  </r>
  <r>
    <s v="TX0344"/>
    <x v="203"/>
    <x v="10"/>
    <x v="7"/>
    <x v="18"/>
    <s v="Multiplex combo"/>
    <x v="3"/>
    <x v="1"/>
    <x v="309"/>
  </r>
  <r>
    <s v="TX0345"/>
    <x v="203"/>
    <x v="10"/>
    <x v="0"/>
    <x v="0"/>
    <s v="Monthly house rent"/>
    <x v="0"/>
    <x v="0"/>
    <x v="0"/>
  </r>
  <r>
    <s v="TX0346"/>
    <x v="204"/>
    <x v="10"/>
    <x v="7"/>
    <x v="30"/>
    <s v="Gaming cafe"/>
    <x v="4"/>
    <x v="1"/>
    <x v="310"/>
  </r>
  <r>
    <s v="TX0347"/>
    <x v="204"/>
    <x v="10"/>
    <x v="5"/>
    <x v="23"/>
    <s v="TNEB electricity bill"/>
    <x v="1"/>
    <x v="0"/>
    <x v="311"/>
  </r>
  <r>
    <s v="TX0348"/>
    <x v="205"/>
    <x v="10"/>
    <x v="7"/>
    <x v="30"/>
    <s v="Gaming cafe"/>
    <x v="2"/>
    <x v="1"/>
    <x v="210"/>
  </r>
  <r>
    <s v="TX0349"/>
    <x v="206"/>
    <x v="10"/>
    <x v="3"/>
    <x v="11"/>
    <s v="Zomato order"/>
    <x v="1"/>
    <x v="1"/>
    <x v="312"/>
  </r>
  <r>
    <s v="TX0350"/>
    <x v="207"/>
    <x v="10"/>
    <x v="7"/>
    <x v="30"/>
    <s v="Steam purchase"/>
    <x v="1"/>
    <x v="1"/>
    <x v="234"/>
  </r>
  <r>
    <s v="TX0351"/>
    <x v="208"/>
    <x v="10"/>
    <x v="7"/>
    <x v="30"/>
    <s v="Game top-up"/>
    <x v="0"/>
    <x v="1"/>
    <x v="313"/>
  </r>
  <r>
    <s v="TX0352"/>
    <x v="208"/>
    <x v="10"/>
    <x v="1"/>
    <x v="7"/>
    <s v="Home decor"/>
    <x v="1"/>
    <x v="1"/>
    <x v="314"/>
  </r>
  <r>
    <s v="TX0353"/>
    <x v="208"/>
    <x v="10"/>
    <x v="1"/>
    <x v="7"/>
    <s v="Cleaning supplies"/>
    <x v="2"/>
    <x v="1"/>
    <x v="315"/>
  </r>
  <r>
    <s v="TX0354"/>
    <x v="208"/>
    <x v="10"/>
    <x v="1"/>
    <x v="25"/>
    <s v="Earphones"/>
    <x v="0"/>
    <x v="1"/>
    <x v="302"/>
  </r>
  <r>
    <s v="TX0355"/>
    <x v="209"/>
    <x v="10"/>
    <x v="5"/>
    <x v="27"/>
    <s v="Wi-Fi renewal"/>
    <x v="2"/>
    <x v="0"/>
    <x v="46"/>
  </r>
  <r>
    <s v="TX0356"/>
    <x v="210"/>
    <x v="10"/>
    <x v="1"/>
    <x v="10"/>
    <s v="Sunglasses"/>
    <x v="1"/>
    <x v="1"/>
    <x v="316"/>
  </r>
  <r>
    <s v="TX0357"/>
    <x v="210"/>
    <x v="10"/>
    <x v="5"/>
    <x v="31"/>
    <s v="Jio recharge"/>
    <x v="1"/>
    <x v="0"/>
    <x v="317"/>
  </r>
  <r>
    <s v="TX0358"/>
    <x v="211"/>
    <x v="10"/>
    <x v="6"/>
    <x v="9"/>
    <s v="Stationery"/>
    <x v="1"/>
    <x v="0"/>
    <x v="318"/>
  </r>
  <r>
    <s v="TX0359"/>
    <x v="212"/>
    <x v="10"/>
    <x v="3"/>
    <x v="15"/>
    <s v="South Indian meals"/>
    <x v="1"/>
    <x v="1"/>
    <x v="319"/>
  </r>
  <r>
    <s v="TX0360"/>
    <x v="212"/>
    <x v="10"/>
    <x v="1"/>
    <x v="10"/>
    <s v="Wallet &amp; bag"/>
    <x v="4"/>
    <x v="1"/>
    <x v="320"/>
  </r>
  <r>
    <s v="TX0361"/>
    <x v="212"/>
    <x v="10"/>
    <x v="1"/>
    <x v="10"/>
    <s v="Watch"/>
    <x v="1"/>
    <x v="1"/>
    <x v="321"/>
  </r>
  <r>
    <s v="TX0362"/>
    <x v="213"/>
    <x v="10"/>
    <x v="2"/>
    <x v="12"/>
    <s v="Family visit travel"/>
    <x v="0"/>
    <x v="1"/>
    <x v="322"/>
  </r>
  <r>
    <s v="TX0363"/>
    <x v="214"/>
    <x v="10"/>
    <x v="4"/>
    <x v="19"/>
    <s v="Eye check-up"/>
    <x v="1"/>
    <x v="0"/>
    <x v="323"/>
  </r>
  <r>
    <s v="TX0364"/>
    <x v="214"/>
    <x v="10"/>
    <x v="2"/>
    <x v="2"/>
    <s v="Bus ticket"/>
    <x v="2"/>
    <x v="0"/>
    <x v="324"/>
  </r>
  <r>
    <s v="TX0365"/>
    <x v="215"/>
    <x v="10"/>
    <x v="5"/>
    <x v="31"/>
    <s v="Airtel recharge"/>
    <x v="1"/>
    <x v="0"/>
    <x v="325"/>
  </r>
  <r>
    <s v="TX0366"/>
    <x v="216"/>
    <x v="10"/>
    <x v="4"/>
    <x v="19"/>
    <s v="Eye check-up"/>
    <x v="4"/>
    <x v="0"/>
    <x v="326"/>
  </r>
  <r>
    <s v="TX0367"/>
    <x v="216"/>
    <x v="10"/>
    <x v="2"/>
    <x v="12"/>
    <s v="Flight ticket"/>
    <x v="1"/>
    <x v="1"/>
    <x v="327"/>
  </r>
  <r>
    <s v="TX0368"/>
    <x v="216"/>
    <x v="10"/>
    <x v="2"/>
    <x v="13"/>
    <s v="Petrol - bike"/>
    <x v="2"/>
    <x v="0"/>
    <x v="173"/>
  </r>
  <r>
    <s v="TX0369"/>
    <x v="217"/>
    <x v="10"/>
    <x v="1"/>
    <x v="1"/>
    <s v="Footwear"/>
    <x v="1"/>
    <x v="1"/>
    <x v="328"/>
  </r>
  <r>
    <s v="TX0370"/>
    <x v="218"/>
    <x v="10"/>
    <x v="3"/>
    <x v="3"/>
    <s v="Tea &amp; snacks"/>
    <x v="0"/>
    <x v="1"/>
    <x v="329"/>
  </r>
  <r>
    <s v="TX0371"/>
    <x v="218"/>
    <x v="10"/>
    <x v="0"/>
    <x v="5"/>
    <s v="Society maintenance"/>
    <x v="1"/>
    <x v="0"/>
    <x v="320"/>
  </r>
  <r>
    <s v="TX0372"/>
    <x v="218"/>
    <x v="10"/>
    <x v="2"/>
    <x v="13"/>
    <s v="Fuel refill"/>
    <x v="1"/>
    <x v="0"/>
    <x v="330"/>
  </r>
  <r>
    <s v="TX0373"/>
    <x v="218"/>
    <x v="10"/>
    <x v="2"/>
    <x v="12"/>
    <s v="Family visit travel"/>
    <x v="2"/>
    <x v="1"/>
    <x v="331"/>
  </r>
  <r>
    <s v="TX0374"/>
    <x v="219"/>
    <x v="10"/>
    <x v="1"/>
    <x v="10"/>
    <s v="Wallet &amp; bag"/>
    <x v="1"/>
    <x v="1"/>
    <x v="332"/>
  </r>
  <r>
    <s v="TX0375"/>
    <x v="219"/>
    <x v="10"/>
    <x v="1"/>
    <x v="25"/>
    <s v="Earphones"/>
    <x v="1"/>
    <x v="1"/>
    <x v="333"/>
  </r>
  <r>
    <s v="TX0376"/>
    <x v="220"/>
    <x v="10"/>
    <x v="3"/>
    <x v="3"/>
    <s v="Tea &amp; snacks"/>
    <x v="1"/>
    <x v="1"/>
    <x v="334"/>
  </r>
  <r>
    <s v="TX0377"/>
    <x v="221"/>
    <x v="10"/>
    <x v="6"/>
    <x v="24"/>
    <s v="Exam registration"/>
    <x v="2"/>
    <x v="0"/>
    <x v="335"/>
  </r>
  <r>
    <s v="TX0378"/>
    <x v="222"/>
    <x v="10"/>
    <x v="7"/>
    <x v="14"/>
    <s v="Concert ticket"/>
    <x v="3"/>
    <x v="1"/>
    <x v="336"/>
  </r>
  <r>
    <s v="TX0379"/>
    <x v="222"/>
    <x v="10"/>
    <x v="3"/>
    <x v="15"/>
    <s v="Lunch with friends"/>
    <x v="1"/>
    <x v="1"/>
    <x v="337"/>
  </r>
  <r>
    <s v="TX0380"/>
    <x v="222"/>
    <x v="10"/>
    <x v="3"/>
    <x v="6"/>
    <s v="Reliance Fresh"/>
    <x v="2"/>
    <x v="0"/>
    <x v="338"/>
  </r>
  <r>
    <s v="TX0381"/>
    <x v="222"/>
    <x v="10"/>
    <x v="1"/>
    <x v="7"/>
    <s v="Home decor"/>
    <x v="1"/>
    <x v="1"/>
    <x v="266"/>
  </r>
  <r>
    <s v="TX0382"/>
    <x v="222"/>
    <x v="10"/>
    <x v="5"/>
    <x v="27"/>
    <s v="Wi-Fi renewal"/>
    <x v="4"/>
    <x v="0"/>
    <x v="339"/>
  </r>
  <r>
    <s v="TX0383"/>
    <x v="223"/>
    <x v="10"/>
    <x v="1"/>
    <x v="1"/>
    <s v="Footwear"/>
    <x v="1"/>
    <x v="1"/>
    <x v="340"/>
  </r>
  <r>
    <s v="TX0384"/>
    <x v="223"/>
    <x v="10"/>
    <x v="5"/>
    <x v="27"/>
    <s v="Wi-Fi renewal"/>
    <x v="2"/>
    <x v="0"/>
    <x v="341"/>
  </r>
  <r>
    <s v="TX0385"/>
    <x v="224"/>
    <x v="10"/>
    <x v="4"/>
    <x v="22"/>
    <s v="Fitness supplements"/>
    <x v="1"/>
    <x v="1"/>
    <x v="342"/>
  </r>
  <r>
    <s v="TX0386"/>
    <x v="224"/>
    <x v="10"/>
    <x v="0"/>
    <x v="16"/>
    <s v="Plumbing repair"/>
    <x v="1"/>
    <x v="0"/>
    <x v="343"/>
  </r>
  <r>
    <s v="TX0387"/>
    <x v="225"/>
    <x v="11"/>
    <x v="2"/>
    <x v="12"/>
    <s v="Weekend trip"/>
    <x v="4"/>
    <x v="1"/>
    <x v="344"/>
  </r>
  <r>
    <s v="TX0388"/>
    <x v="225"/>
    <x v="11"/>
    <x v="5"/>
    <x v="8"/>
    <s v="Water can &amp; bill"/>
    <x v="1"/>
    <x v="0"/>
    <x v="345"/>
  </r>
  <r>
    <s v="TX0389"/>
    <x v="226"/>
    <x v="11"/>
    <x v="1"/>
    <x v="25"/>
    <s v="Earphones"/>
    <x v="2"/>
    <x v="1"/>
    <x v="346"/>
  </r>
  <r>
    <s v="TX0390"/>
    <x v="227"/>
    <x v="11"/>
    <x v="7"/>
    <x v="17"/>
    <s v="Amazon Prime"/>
    <x v="1"/>
    <x v="1"/>
    <x v="67"/>
  </r>
  <r>
    <s v="TX0391"/>
    <x v="227"/>
    <x v="11"/>
    <x v="3"/>
    <x v="6"/>
    <s v="Reliance Fresh"/>
    <x v="1"/>
    <x v="0"/>
    <x v="347"/>
  </r>
  <r>
    <s v="TX0392"/>
    <x v="228"/>
    <x v="11"/>
    <x v="0"/>
    <x v="0"/>
    <s v="Monthly house rent"/>
    <x v="0"/>
    <x v="0"/>
    <x v="0"/>
  </r>
  <r>
    <s v="TX0393"/>
    <x v="228"/>
    <x v="11"/>
    <x v="2"/>
    <x v="21"/>
    <s v="Uber ride"/>
    <x v="1"/>
    <x v="1"/>
    <x v="348"/>
  </r>
  <r>
    <s v="TX0394"/>
    <x v="229"/>
    <x v="11"/>
    <x v="5"/>
    <x v="27"/>
    <s v="Broadband bill"/>
    <x v="1"/>
    <x v="0"/>
    <x v="349"/>
  </r>
  <r>
    <s v="TX0395"/>
    <x v="230"/>
    <x v="11"/>
    <x v="0"/>
    <x v="5"/>
    <s v="Society maintenance"/>
    <x v="1"/>
    <x v="0"/>
    <x v="350"/>
  </r>
  <r>
    <s v="TX0396"/>
    <x v="231"/>
    <x v="11"/>
    <x v="2"/>
    <x v="12"/>
    <s v="Weekend trip"/>
    <x v="1"/>
    <x v="1"/>
    <x v="351"/>
  </r>
  <r>
    <s v="TX0397"/>
    <x v="232"/>
    <x v="11"/>
    <x v="7"/>
    <x v="17"/>
    <s v="Amazon Prime"/>
    <x v="1"/>
    <x v="1"/>
    <x v="106"/>
  </r>
  <r>
    <s v="TX0398"/>
    <x v="232"/>
    <x v="11"/>
    <x v="3"/>
    <x v="11"/>
    <s v="Swiggy order"/>
    <x v="3"/>
    <x v="1"/>
    <x v="22"/>
  </r>
  <r>
    <s v="TX0399"/>
    <x v="232"/>
    <x v="11"/>
    <x v="2"/>
    <x v="13"/>
    <s v="Fuel refill"/>
    <x v="4"/>
    <x v="0"/>
    <x v="188"/>
  </r>
  <r>
    <s v="TX0400"/>
    <x v="233"/>
    <x v="11"/>
    <x v="6"/>
    <x v="29"/>
    <s v="LinkedIn Learning"/>
    <x v="0"/>
    <x v="1"/>
    <x v="20"/>
  </r>
  <r>
    <s v="TX0401"/>
    <x v="233"/>
    <x v="11"/>
    <x v="3"/>
    <x v="6"/>
    <s v="Vegetable market"/>
    <x v="1"/>
    <x v="0"/>
    <x v="352"/>
  </r>
  <r>
    <s v="TX0402"/>
    <x v="233"/>
    <x v="11"/>
    <x v="2"/>
    <x v="12"/>
    <s v="Family visit travel"/>
    <x v="1"/>
    <x v="1"/>
    <x v="353"/>
  </r>
  <r>
    <s v="TX0403"/>
    <x v="234"/>
    <x v="11"/>
    <x v="3"/>
    <x v="15"/>
    <s v="Biryani house"/>
    <x v="3"/>
    <x v="1"/>
    <x v="354"/>
  </r>
  <r>
    <s v="TX0404"/>
    <x v="234"/>
    <x v="11"/>
    <x v="1"/>
    <x v="1"/>
    <s v="Footwear"/>
    <x v="4"/>
    <x v="1"/>
    <x v="355"/>
  </r>
  <r>
    <s v="TX0405"/>
    <x v="234"/>
    <x v="11"/>
    <x v="5"/>
    <x v="27"/>
    <s v="Wi-Fi renewal"/>
    <x v="1"/>
    <x v="0"/>
    <x v="356"/>
  </r>
  <r>
    <s v="TX0406"/>
    <x v="234"/>
    <x v="11"/>
    <x v="5"/>
    <x v="23"/>
    <s v="TNEB electricity bill"/>
    <x v="1"/>
    <x v="0"/>
    <x v="357"/>
  </r>
  <r>
    <s v="TX0407"/>
    <x v="235"/>
    <x v="11"/>
    <x v="3"/>
    <x v="3"/>
    <s v="Bakery"/>
    <x v="1"/>
    <x v="1"/>
    <x v="358"/>
  </r>
  <r>
    <s v="TX0408"/>
    <x v="236"/>
    <x v="11"/>
    <x v="1"/>
    <x v="25"/>
    <s v="Earphones"/>
    <x v="1"/>
    <x v="1"/>
    <x v="359"/>
  </r>
  <r>
    <s v="TX0409"/>
    <x v="237"/>
    <x v="11"/>
    <x v="3"/>
    <x v="3"/>
    <s v="Bakery"/>
    <x v="2"/>
    <x v="1"/>
    <x v="360"/>
  </r>
  <r>
    <s v="TX0410"/>
    <x v="238"/>
    <x v="11"/>
    <x v="6"/>
    <x v="28"/>
    <s v="Online course"/>
    <x v="1"/>
    <x v="0"/>
    <x v="361"/>
  </r>
  <r>
    <s v="TX0411"/>
    <x v="238"/>
    <x v="11"/>
    <x v="3"/>
    <x v="6"/>
    <s v="Reliance Fresh"/>
    <x v="4"/>
    <x v="0"/>
    <x v="10"/>
  </r>
  <r>
    <s v="TX0412"/>
    <x v="239"/>
    <x v="11"/>
    <x v="6"/>
    <x v="28"/>
    <s v="Certification course"/>
    <x v="2"/>
    <x v="0"/>
    <x v="362"/>
  </r>
  <r>
    <s v="TX0413"/>
    <x v="240"/>
    <x v="11"/>
    <x v="1"/>
    <x v="7"/>
    <s v="Kitchen items"/>
    <x v="4"/>
    <x v="1"/>
    <x v="363"/>
  </r>
  <r>
    <s v="TX0414"/>
    <x v="241"/>
    <x v="11"/>
    <x v="7"/>
    <x v="30"/>
    <s v="Game top-up"/>
    <x v="4"/>
    <x v="1"/>
    <x v="364"/>
  </r>
  <r>
    <s v="TX0415"/>
    <x v="242"/>
    <x v="11"/>
    <x v="7"/>
    <x v="30"/>
    <s v="Game top-up"/>
    <x v="3"/>
    <x v="1"/>
    <x v="365"/>
  </r>
  <r>
    <s v="TX0416"/>
    <x v="242"/>
    <x v="11"/>
    <x v="0"/>
    <x v="26"/>
    <s v="Curtains &amp; mats"/>
    <x v="1"/>
    <x v="1"/>
    <x v="366"/>
  </r>
  <r>
    <s v="TX0417"/>
    <x v="242"/>
    <x v="11"/>
    <x v="2"/>
    <x v="21"/>
    <s v="Uber ride"/>
    <x v="2"/>
    <x v="1"/>
    <x v="43"/>
  </r>
  <r>
    <s v="TX0418"/>
    <x v="243"/>
    <x v="11"/>
    <x v="3"/>
    <x v="15"/>
    <s v="Biryani house"/>
    <x v="4"/>
    <x v="1"/>
    <x v="367"/>
  </r>
  <r>
    <s v="TX0419"/>
    <x v="244"/>
    <x v="11"/>
    <x v="2"/>
    <x v="21"/>
    <s v="Uber ride"/>
    <x v="1"/>
    <x v="1"/>
    <x v="368"/>
  </r>
  <r>
    <s v="TX0420"/>
    <x v="245"/>
    <x v="11"/>
    <x v="7"/>
    <x v="18"/>
    <s v="IMAX show"/>
    <x v="1"/>
    <x v="1"/>
    <x v="369"/>
  </r>
  <r>
    <m/>
    <x v="246"/>
    <x v="12"/>
    <x v="8"/>
    <x v="32"/>
    <m/>
    <x v="5"/>
    <x v="2"/>
    <x v="3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C4B71-6FD3-4CF4-AB3E-5298CC873F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E44" firstHeaderRow="0" firstDataRow="1" firstDataCol="1"/>
  <pivotFields count="15">
    <pivotField showAll="0"/>
    <pivotField showAll="0">
      <items count="2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0">
        <item x="6"/>
        <item x="7"/>
        <item x="3"/>
        <item x="4"/>
        <item x="0"/>
        <item x="1"/>
        <item x="2"/>
        <item x="5"/>
        <item h="1" x="8"/>
        <item t="default"/>
      </items>
    </pivotField>
    <pivotField axis="axisRow" showAll="0">
      <items count="34">
        <item x="10"/>
        <item x="9"/>
        <item x="2"/>
        <item x="21"/>
        <item x="1"/>
        <item x="28"/>
        <item x="19"/>
        <item x="23"/>
        <item x="25"/>
        <item x="14"/>
        <item x="24"/>
        <item x="13"/>
        <item x="26"/>
        <item x="30"/>
        <item x="6"/>
        <item x="22"/>
        <item x="7"/>
        <item x="0"/>
        <item x="4"/>
        <item x="27"/>
        <item x="5"/>
        <item x="20"/>
        <item x="31"/>
        <item x="18"/>
        <item x="11"/>
        <item x="29"/>
        <item x="17"/>
        <item x="16"/>
        <item x="15"/>
        <item x="3"/>
        <item x="12"/>
        <item x="8"/>
        <item x="32"/>
        <item t="default"/>
      </items>
    </pivotField>
    <pivotField showAll="0"/>
    <pivotField showAll="0"/>
    <pivotField showAll="0"/>
    <pivotField dataField="1" numFmtId="166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3"/>
    <field x="4"/>
  </rowFields>
  <rowItems count="41">
    <i>
      <x/>
    </i>
    <i r="1">
      <x v="1"/>
    </i>
    <i r="1">
      <x v="5"/>
    </i>
    <i r="1">
      <x v="10"/>
    </i>
    <i r="1">
      <x v="25"/>
    </i>
    <i>
      <x v="1"/>
    </i>
    <i r="1">
      <x v="9"/>
    </i>
    <i r="1">
      <x v="13"/>
    </i>
    <i r="1">
      <x v="23"/>
    </i>
    <i r="1">
      <x v="26"/>
    </i>
    <i>
      <x v="2"/>
    </i>
    <i r="1">
      <x v="14"/>
    </i>
    <i r="1">
      <x v="24"/>
    </i>
    <i r="1">
      <x v="28"/>
    </i>
    <i r="1">
      <x v="29"/>
    </i>
    <i>
      <x v="3"/>
    </i>
    <i r="1">
      <x v="6"/>
    </i>
    <i r="1">
      <x v="15"/>
    </i>
    <i r="1">
      <x v="18"/>
    </i>
    <i r="1">
      <x v="21"/>
    </i>
    <i>
      <x v="4"/>
    </i>
    <i r="1">
      <x v="12"/>
    </i>
    <i r="1">
      <x v="17"/>
    </i>
    <i r="1">
      <x v="20"/>
    </i>
    <i r="1">
      <x v="27"/>
    </i>
    <i>
      <x v="5"/>
    </i>
    <i r="1">
      <x/>
    </i>
    <i r="1">
      <x v="4"/>
    </i>
    <i r="1">
      <x v="8"/>
    </i>
    <i r="1">
      <x v="16"/>
    </i>
    <i>
      <x v="6"/>
    </i>
    <i r="1">
      <x v="2"/>
    </i>
    <i r="1">
      <x v="3"/>
    </i>
    <i r="1">
      <x v="11"/>
    </i>
    <i r="1">
      <x v="30"/>
    </i>
    <i>
      <x v="7"/>
    </i>
    <i r="1">
      <x v="7"/>
    </i>
    <i r="1">
      <x v="19"/>
    </i>
    <i r="1">
      <x v="22"/>
    </i>
    <i r="1">
      <x v="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mount (₹)" fld="8" baseField="0" baseItem="0" numFmtId="166"/>
    <dataField name="Count of Amount (₹)2" fld="8" subtotal="count" baseField="3" baseItem="0"/>
    <dataField name="Average of Amount (₹)2" fld="8" subtotal="average" baseField="3" baseItem="0" numFmtId="166"/>
    <dataField name="GRAND TOTAL PERCENTAGE " fld="8" showDataAs="percentOfTotal" baseField="3" baseItem="0" numFmtId="10"/>
  </dataFields>
  <formats count="39">
    <format dxfId="38">
      <pivotArea field="3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">
      <pivotArea field="3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4">
      <pivotArea dataOnly="0" labelOnly="1" fieldPosition="0">
        <references count="1">
          <reference field="3" count="1">
            <x v="0"/>
          </reference>
        </references>
      </pivotArea>
    </format>
    <format dxfId="33">
      <pivotArea dataOnly="0" labelOnly="1" fieldPosition="0">
        <references count="1">
          <reference field="3" count="1">
            <x v="0"/>
          </reference>
        </references>
      </pivotArea>
    </format>
    <format dxfId="32">
      <pivotArea dataOnly="0" labelOnly="1" fieldPosition="0">
        <references count="1">
          <reference field="3" count="1">
            <x v="1"/>
          </reference>
        </references>
      </pivotArea>
    </format>
    <format dxfId="31">
      <pivotArea dataOnly="0" labelOnly="1" fieldPosition="0">
        <references count="1">
          <reference field="3" count="1">
            <x v="1"/>
          </reference>
        </references>
      </pivotArea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fieldPosition="0">
        <references count="1">
          <reference field="3" count="0"/>
        </references>
      </pivotArea>
    </format>
    <format dxfId="28">
      <pivotArea grandRow="1" outline="0" collapsedLevelsAreSubtotals="1" fieldPosition="0"/>
    </format>
    <format dxfId="27">
      <pivotArea collapsedLevelsAreSubtotals="1" fieldPosition="0">
        <references count="1">
          <reference field="3" count="1">
            <x v="7"/>
          </reference>
        </references>
      </pivotArea>
    </format>
    <format dxfId="26">
      <pivotArea collapsedLevelsAreSubtotals="1" fieldPosition="0">
        <references count="1">
          <reference field="3" count="1">
            <x v="6"/>
          </reference>
        </references>
      </pivotArea>
    </format>
    <format dxfId="25">
      <pivotArea collapsedLevelsAreSubtotals="1" fieldPosition="0">
        <references count="1">
          <reference field="3" count="1">
            <x v="5"/>
          </reference>
        </references>
      </pivotArea>
    </format>
    <format dxfId="24">
      <pivotArea collapsedLevelsAreSubtotals="1" fieldPosition="0">
        <references count="1">
          <reference field="3" count="1">
            <x v="4"/>
          </reference>
        </references>
      </pivotArea>
    </format>
    <format dxfId="23">
      <pivotArea collapsedLevelsAreSubtotals="1" fieldPosition="0">
        <references count="1">
          <reference field="3" count="1">
            <x v="3"/>
          </reference>
        </references>
      </pivotArea>
    </format>
    <format dxfId="22">
      <pivotArea collapsedLevelsAreSubtotals="1" fieldPosition="0">
        <references count="1">
          <reference field="3" count="1">
            <x v="2"/>
          </reference>
        </references>
      </pivotArea>
    </format>
    <format dxfId="21">
      <pivotArea collapsedLevelsAreSubtotals="1" fieldPosition="0">
        <references count="1">
          <reference field="3" count="1">
            <x v="1"/>
          </reference>
        </references>
      </pivotArea>
    </format>
    <format dxfId="20">
      <pivotArea collapsedLevelsAreSubtotals="1" fieldPosition="0">
        <references count="1">
          <reference field="3" count="1">
            <x v="0"/>
          </reference>
        </references>
      </pivotArea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3" count="1" selected="0">
            <x v="0"/>
          </reference>
          <reference field="4" count="4">
            <x v="1"/>
            <x v="5"/>
            <x v="10"/>
            <x v="25"/>
          </reference>
        </references>
      </pivotArea>
    </format>
    <format dxfId="7">
      <pivotArea dataOnly="0" labelOnly="1" fieldPosition="0">
        <references count="2">
          <reference field="3" count="1" selected="0">
            <x v="1"/>
          </reference>
          <reference field="4" count="4">
            <x v="9"/>
            <x v="13"/>
            <x v="23"/>
            <x v="26"/>
          </reference>
        </references>
      </pivotArea>
    </format>
    <format dxfId="6">
      <pivotArea dataOnly="0" labelOnly="1" fieldPosition="0">
        <references count="2">
          <reference field="3" count="1" selected="0">
            <x v="2"/>
          </reference>
          <reference field="4" count="4">
            <x v="14"/>
            <x v="24"/>
            <x v="28"/>
            <x v="29"/>
          </reference>
        </references>
      </pivotArea>
    </format>
    <format dxfId="5">
      <pivotArea dataOnly="0" labelOnly="1" fieldPosition="0">
        <references count="2">
          <reference field="3" count="1" selected="0">
            <x v="3"/>
          </reference>
          <reference field="4" count="4">
            <x v="6"/>
            <x v="15"/>
            <x v="18"/>
            <x v="21"/>
          </reference>
        </references>
      </pivotArea>
    </format>
    <format dxfId="4">
      <pivotArea dataOnly="0" labelOnly="1" fieldPosition="0">
        <references count="2">
          <reference field="3" count="1" selected="0">
            <x v="4"/>
          </reference>
          <reference field="4" count="4">
            <x v="12"/>
            <x v="17"/>
            <x v="20"/>
            <x v="27"/>
          </reference>
        </references>
      </pivotArea>
    </format>
    <format dxfId="3">
      <pivotArea dataOnly="0" labelOnly="1" fieldPosition="0">
        <references count="2">
          <reference field="3" count="1" selected="0">
            <x v="5"/>
          </reference>
          <reference field="4" count="4">
            <x v="0"/>
            <x v="4"/>
            <x v="8"/>
            <x v="16"/>
          </reference>
        </references>
      </pivotArea>
    </format>
    <format dxfId="2">
      <pivotArea dataOnly="0" labelOnly="1" fieldPosition="0">
        <references count="2">
          <reference field="3" count="1" selected="0">
            <x v="6"/>
          </reference>
          <reference field="4" count="4">
            <x v="2"/>
            <x v="3"/>
            <x v="11"/>
            <x v="30"/>
          </reference>
        </references>
      </pivotArea>
    </format>
    <format dxfId="1">
      <pivotArea dataOnly="0" labelOnly="1" fieldPosition="0">
        <references count="2">
          <reference field="3" count="1" selected="0">
            <x v="7"/>
          </reference>
          <reference field="4" count="4">
            <x v="7"/>
            <x v="19"/>
            <x v="22"/>
            <x v="31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CB8FC-35BA-423C-84AB-39E17CB8706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Needs Vs Wants">
  <location ref="A94:B97" firstHeaderRow="1" firstDataRow="1" firstDataCol="1"/>
  <pivotFields count="15">
    <pivotField showAll="0"/>
    <pivotField showAll="0">
      <items count="2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dataField="1" numFmtId="166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Amount (₹)" fld="8" baseField="0" baseItem="0" numFmtId="166"/>
  </dataFields>
  <formats count="20"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7" type="button" dataOnly="0" labelOnly="1" outline="0" axis="axisRow" fieldPosition="0"/>
    </format>
    <format dxfId="55">
      <pivotArea dataOnly="0" labelOnly="1" fieldPosition="0">
        <references count="1">
          <reference field="7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field="7" type="button" dataOnly="0" labelOnly="1" outline="0" axis="axisRow" fieldPosition="0"/>
    </format>
    <format dxfId="47">
      <pivotArea dataOnly="0" labelOnly="1" outline="0" axis="axisValues" fieldPosition="0"/>
    </format>
    <format dxfId="46">
      <pivotArea field="7" type="button" dataOnly="0" labelOnly="1" outline="0" axis="axisRow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7" type="button" dataOnly="0" labelOnly="1" outline="0" axis="axisRow" fieldPosition="0"/>
    </format>
    <format dxfId="41">
      <pivotArea dataOnly="0" labelOnly="1" fieldPosition="0">
        <references count="1">
          <reference field="7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68DF7-BE92-4201-B226-69994FB3839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B103:E113" firstHeaderRow="0" firstDataRow="1" firstDataCol="1"/>
  <pivotFields count="15">
    <pivotField showAll="0"/>
    <pivotField showAll="0">
      <items count="2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dataField="1" showAll="0">
      <items count="10">
        <item x="6"/>
        <item x="7"/>
        <item x="3"/>
        <item x="4"/>
        <item x="0"/>
        <item x="1"/>
        <item x="2"/>
        <item x="5"/>
        <item x="8"/>
        <item t="default"/>
      </items>
    </pivotField>
    <pivotField showAll="0"/>
    <pivotField showAll="0"/>
    <pivotField showAll="0"/>
    <pivotField showAll="0"/>
    <pivotField dataField="1" numFmtId="166" showAll="0">
      <items count="372">
        <item x="300"/>
        <item x="102"/>
        <item x="368"/>
        <item x="222"/>
        <item x="202"/>
        <item x="180"/>
        <item x="175"/>
        <item x="134"/>
        <item x="324"/>
        <item x="3"/>
        <item x="143"/>
        <item x="358"/>
        <item x="295"/>
        <item x="205"/>
        <item x="234"/>
        <item x="132"/>
        <item x="50"/>
        <item x="184"/>
        <item x="312"/>
        <item x="111"/>
        <item x="195"/>
        <item x="168"/>
        <item x="220"/>
        <item x="364"/>
        <item x="174"/>
        <item x="93"/>
        <item x="170"/>
        <item x="36"/>
        <item x="299"/>
        <item x="127"/>
        <item x="276"/>
        <item x="229"/>
        <item x="115"/>
        <item x="185"/>
        <item x="42"/>
        <item x="22"/>
        <item x="14"/>
        <item x="191"/>
        <item x="296"/>
        <item x="80"/>
        <item x="285"/>
        <item x="58"/>
        <item x="334"/>
        <item x="369"/>
        <item x="225"/>
        <item x="253"/>
        <item x="26"/>
        <item x="78"/>
        <item x="122"/>
        <item x="274"/>
        <item x="166"/>
        <item x="158"/>
        <item x="303"/>
        <item x="124"/>
        <item x="235"/>
        <item x="131"/>
        <item x="65"/>
        <item x="192"/>
        <item x="233"/>
        <item x="271"/>
        <item x="61"/>
        <item x="266"/>
        <item x="262"/>
        <item x="157"/>
        <item x="154"/>
        <item x="18"/>
        <item x="363"/>
        <item x="10"/>
        <item x="290"/>
        <item x="171"/>
        <item x="181"/>
        <item x="315"/>
        <item x="84"/>
        <item x="2"/>
        <item x="215"/>
        <item x="199"/>
        <item x="145"/>
        <item x="94"/>
        <item x="63"/>
        <item x="348"/>
        <item x="165"/>
        <item x="95"/>
        <item x="188"/>
        <item x="248"/>
        <item x="187"/>
        <item x="43"/>
        <item x="120"/>
        <item x="123"/>
        <item x="227"/>
        <item x="113"/>
        <item x="148"/>
        <item x="126"/>
        <item x="8"/>
        <item x="106"/>
        <item x="297"/>
        <item x="30"/>
        <item x="9"/>
        <item x="97"/>
        <item x="137"/>
        <item x="177"/>
        <item x="321"/>
        <item x="329"/>
        <item x="178"/>
        <item x="31"/>
        <item x="249"/>
        <item x="365"/>
        <item x="24"/>
        <item x="67"/>
        <item x="208"/>
        <item x="284"/>
        <item x="79"/>
        <item x="360"/>
        <item x="19"/>
        <item x="289"/>
        <item x="56"/>
        <item x="325"/>
        <item x="38"/>
        <item x="55"/>
        <item x="190"/>
        <item x="264"/>
        <item x="197"/>
        <item x="88"/>
        <item x="73"/>
        <item x="37"/>
        <item x="29"/>
        <item x="323"/>
        <item x="317"/>
        <item x="16"/>
        <item x="287"/>
        <item x="224"/>
        <item x="41"/>
        <item x="345"/>
        <item x="155"/>
        <item x="92"/>
        <item x="259"/>
        <item x="283"/>
        <item x="138"/>
        <item x="200"/>
        <item x="147"/>
        <item x="109"/>
        <item x="193"/>
        <item x="349"/>
        <item x="250"/>
        <item x="293"/>
        <item x="257"/>
        <item x="273"/>
        <item x="7"/>
        <item x="64"/>
        <item x="328"/>
        <item x="304"/>
        <item x="213"/>
        <item x="241"/>
        <item x="25"/>
        <item x="68"/>
        <item x="107"/>
        <item x="49"/>
        <item x="183"/>
        <item x="141"/>
        <item x="294"/>
        <item x="318"/>
        <item x="260"/>
        <item x="308"/>
        <item x="156"/>
        <item x="254"/>
        <item x="83"/>
        <item x="136"/>
        <item x="100"/>
        <item x="89"/>
        <item x="330"/>
        <item x="28"/>
        <item x="352"/>
        <item x="39"/>
        <item x="221"/>
        <item x="6"/>
        <item x="214"/>
        <item x="117"/>
        <item x="350"/>
        <item x="62"/>
        <item x="81"/>
        <item x="179"/>
        <item x="291"/>
        <item x="337"/>
        <item x="20"/>
        <item x="52"/>
        <item x="255"/>
        <item x="267"/>
        <item x="210"/>
        <item x="212"/>
        <item x="309"/>
        <item x="57"/>
        <item x="269"/>
        <item x="339"/>
        <item x="172"/>
        <item x="33"/>
        <item x="110"/>
        <item x="189"/>
        <item x="209"/>
        <item x="47"/>
        <item x="216"/>
        <item x="162"/>
        <item x="135"/>
        <item x="23"/>
        <item x="332"/>
        <item x="90"/>
        <item x="182"/>
        <item x="305"/>
        <item x="342"/>
        <item x="270"/>
        <item x="341"/>
        <item x="85"/>
        <item x="280"/>
        <item x="320"/>
        <item x="207"/>
        <item x="307"/>
        <item x="105"/>
        <item x="59"/>
        <item x="242"/>
        <item x="167"/>
        <item x="72"/>
        <item x="27"/>
        <item x="366"/>
        <item x="60"/>
        <item x="240"/>
        <item x="152"/>
        <item x="91"/>
        <item x="251"/>
        <item x="45"/>
        <item x="310"/>
        <item x="69"/>
        <item x="32"/>
        <item x="336"/>
        <item x="140"/>
        <item x="196"/>
        <item x="15"/>
        <item x="87"/>
        <item x="245"/>
        <item x="356"/>
        <item x="146"/>
        <item x="35"/>
        <item x="314"/>
        <item x="268"/>
        <item x="150"/>
        <item x="311"/>
        <item x="279"/>
        <item x="275"/>
        <item x="228"/>
        <item x="46"/>
        <item x="133"/>
        <item x="218"/>
        <item x="159"/>
        <item x="5"/>
        <item x="12"/>
        <item x="272"/>
        <item x="313"/>
        <item x="258"/>
        <item x="103"/>
        <item x="186"/>
        <item x="277"/>
        <item x="335"/>
        <item x="211"/>
        <item x="128"/>
        <item x="34"/>
        <item x="238"/>
        <item x="118"/>
        <item x="343"/>
        <item x="99"/>
        <item x="76"/>
        <item x="326"/>
        <item x="231"/>
        <item x="173"/>
        <item x="316"/>
        <item x="160"/>
        <item x="263"/>
        <item x="354"/>
        <item x="119"/>
        <item x="302"/>
        <item x="367"/>
        <item x="163"/>
        <item x="282"/>
        <item x="357"/>
        <item x="53"/>
        <item x="319"/>
        <item x="359"/>
        <item x="21"/>
        <item x="239"/>
        <item x="116"/>
        <item x="142"/>
        <item x="237"/>
        <item x="203"/>
        <item x="298"/>
        <item x="98"/>
        <item x="347"/>
        <item x="153"/>
        <item x="121"/>
        <item x="161"/>
        <item x="108"/>
        <item x="151"/>
        <item x="96"/>
        <item x="340"/>
        <item x="144"/>
        <item x="246"/>
        <item x="11"/>
        <item x="101"/>
        <item x="261"/>
        <item x="361"/>
        <item x="306"/>
        <item x="130"/>
        <item x="169"/>
        <item x="288"/>
        <item x="244"/>
        <item x="252"/>
        <item x="51"/>
        <item x="338"/>
        <item x="77"/>
        <item x="13"/>
        <item x="232"/>
        <item x="204"/>
        <item x="74"/>
        <item x="206"/>
        <item x="149"/>
        <item x="256"/>
        <item x="40"/>
        <item x="104"/>
        <item x="301"/>
        <item x="278"/>
        <item x="292"/>
        <item x="164"/>
        <item x="243"/>
        <item x="75"/>
        <item x="129"/>
        <item x="198"/>
        <item x="54"/>
        <item x="230"/>
        <item x="327"/>
        <item x="362"/>
        <item x="4"/>
        <item x="1"/>
        <item x="86"/>
        <item x="265"/>
        <item x="66"/>
        <item x="355"/>
        <item x="219"/>
        <item x="139"/>
        <item x="82"/>
        <item x="223"/>
        <item x="114"/>
        <item x="176"/>
        <item x="71"/>
        <item x="217"/>
        <item x="247"/>
        <item x="194"/>
        <item x="333"/>
        <item x="44"/>
        <item x="48"/>
        <item x="344"/>
        <item x="353"/>
        <item x="286"/>
        <item x="125"/>
        <item x="281"/>
        <item x="70"/>
        <item x="351"/>
        <item x="346"/>
        <item x="112"/>
        <item x="226"/>
        <item x="322"/>
        <item x="17"/>
        <item x="201"/>
        <item x="331"/>
        <item x="236"/>
        <item x="0"/>
        <item x="37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pend" fld="8" baseField="3" baseItem="0" numFmtId="166"/>
    <dataField name="Transactions" fld="3" subtotal="count" baseField="0" baseItem="0"/>
    <dataField name="Average Transactions" fld="8" subtotal="average" baseField="3" baseItem="0" numFmtId="166"/>
  </dataFields>
  <formats count="12">
    <format dxfId="70">
      <pivotArea field="3" type="button" dataOnly="0" labelOnly="1" outline="0" axis="axisRow" fieldPosition="0"/>
    </format>
    <format dxfId="69">
      <pivotArea dataOnly="0" labelOnly="1" outline="0" axis="axisValues" fieldPosition="0"/>
    </format>
    <format dxfId="68">
      <pivotArea field="3" type="button" dataOnly="0" labelOnly="1" outline="0" axis="axisRow" fieldPosition="0"/>
    </format>
    <format dxfId="67">
      <pivotArea dataOnly="0" labelOnly="1" outline="0" axis="axisValues" fieldPosition="0"/>
    </format>
    <format dxfId="66">
      <pivotArea dataOnly="0" grandRow="1" fieldPosition="0"/>
    </format>
    <format dxfId="65">
      <pivotArea dataOnly="0" grandRow="1" fieldPosition="0"/>
    </format>
    <format dxfId="64">
      <pivotArea field="3" type="button" dataOnly="0" labelOnly="1" outline="0" axis="axisRow" fieldPosition="0"/>
    </format>
    <format dxfId="6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2">
      <pivotArea field="3" type="button" dataOnly="0" labelOnly="1" outline="0" axis="axisRow" fieldPosition="0"/>
    </format>
    <format dxfId="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0">
      <pivotArea field="3" type="button" dataOnly="0" labelOnly="1" outline="0" axis="axisRow" fieldPosition="0"/>
    </format>
    <format dxfId="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1727C-4646-4821-BB88-316BD6F4289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N86" firstHeaderRow="1" firstDataRow="2" firstDataCol="1"/>
  <pivotFields count="15">
    <pivotField showAll="0"/>
    <pivotField showAll="0">
      <items count="2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0">
        <item x="6"/>
        <item x="7"/>
        <item x="3"/>
        <item x="4"/>
        <item x="0"/>
        <item x="1"/>
        <item x="2"/>
        <item x="5"/>
        <item h="1" x="8"/>
        <item t="default"/>
      </items>
    </pivotField>
    <pivotField showAll="0"/>
    <pivotField showAll="0"/>
    <pivotField showAll="0"/>
    <pivotField showAll="0"/>
    <pivotField dataField="1" numFmtId="166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 (₹)" fld="8" baseField="0" baseItem="0" numFmtId="166"/>
  </dataFields>
  <formats count="17"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type="origin" dataOnly="0" labelOnly="1" outline="0" fieldPosition="0"/>
    </format>
    <format dxfId="82">
      <pivotArea field="2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3" type="button" dataOnly="0" labelOnly="1" outline="0" axis="axisRow" fieldPosition="0"/>
    </format>
    <format dxfId="79">
      <pivotArea dataOnly="0" labelOnly="1" fieldPosition="0">
        <references count="1"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8">
      <pivotArea dataOnly="0" labelOnly="1" grandCol="1" outline="0" fieldPosition="0"/>
    </format>
    <format dxfId="77">
      <pivotArea type="origin" dataOnly="0" labelOnly="1" outline="0" fieldPosition="0"/>
    </format>
    <format dxfId="76">
      <pivotArea field="2" type="button" dataOnly="0" labelOnly="1" outline="0" axis="axisCol" fieldPosition="0"/>
    </format>
    <format dxfId="75">
      <pivotArea type="topRight" dataOnly="0" labelOnly="1" outline="0" fieldPosition="0"/>
    </format>
    <format dxfId="74">
      <pivotArea field="3" type="button" dataOnly="0" labelOnly="1" outline="0" axis="axisRow" fieldPosition="0"/>
    </format>
    <format dxfId="73">
      <pivotArea dataOnly="0" labelOnly="1" fieldPosition="0">
        <references count="1">
          <reference field="2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2">
      <pivotArea dataOnly="0" labelOnly="1" grandCol="1" outline="0" fieldPosition="0"/>
    </format>
    <format dxfId="7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D6A46-0F93-4322-8328-444FC768A1A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e">
  <location ref="A52:G66" firstHeaderRow="1" firstDataRow="2" firstDataCol="1"/>
  <pivotFields count="15">
    <pivotField showAll="0"/>
    <pivotField showAll="0">
      <items count="2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axis="axisCol" showAll="0">
      <items count="7">
        <item x="3"/>
        <item x="2"/>
        <item n="  Debit Card" x="4"/>
        <item x="0"/>
        <item n="         UPI" x="1"/>
        <item h="1" x="5"/>
        <item t="default"/>
      </items>
    </pivotField>
    <pivotField showAll="0"/>
    <pivotField dataField="1" numFmtId="166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 (₹)" fld="8" baseField="0" baseItem="0" numFmtId="166"/>
  </dataFields>
  <formats count="17">
    <format dxfId="104">
      <pivotArea type="origin" dataOnly="0" labelOnly="1" outline="0" fieldPosition="0"/>
    </format>
    <format dxfId="103">
      <pivotArea field="6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2" type="button" dataOnly="0" labelOnly="1" outline="0" axis="axisRow" fieldPosition="0"/>
    </format>
    <format dxfId="100">
      <pivotArea dataOnly="0" labelOnly="1" fieldPosition="0">
        <references count="1">
          <reference field="6" count="0"/>
        </references>
      </pivotArea>
    </format>
    <format dxfId="99">
      <pivotArea dataOnly="0" labelOnly="1" grandCol="1" outline="0" fieldPosition="0"/>
    </format>
    <format dxfId="98">
      <pivotArea type="origin" dataOnly="0" labelOnly="1" outline="0" fieldPosition="0"/>
    </format>
    <format dxfId="97">
      <pivotArea field="6" type="button" dataOnly="0" labelOnly="1" outline="0" axis="axisCol" fieldPosition="0"/>
    </format>
    <format dxfId="96">
      <pivotArea type="topRight" dataOnly="0" labelOnly="1" outline="0" fieldPosition="0"/>
    </format>
    <format dxfId="95">
      <pivotArea field="2" type="button" dataOnly="0" labelOnly="1" outline="0" axis="axisRow" fieldPosition="0"/>
    </format>
    <format dxfId="94">
      <pivotArea dataOnly="0" labelOnly="1" fieldPosition="0">
        <references count="1">
          <reference field="6" count="0"/>
        </references>
      </pivotArea>
    </format>
    <format dxfId="93">
      <pivotArea dataOnly="0" labelOnly="1" grandCol="1" outline="0" fieldPosition="0"/>
    </format>
    <format dxfId="92">
      <pivotArea grandRow="1" outline="0" collapsedLevelsAreSubtotals="1" fieldPosition="0"/>
    </format>
    <format dxfId="91">
      <pivotArea dataOnly="0" labelOnly="1" grandRow="1" outline="0" fieldPosition="0"/>
    </format>
    <format dxfId="90">
      <pivotArea collapsedLevelsAreSubtotals="1" fieldPosition="0">
        <references count="2">
          <reference field="2" count="1">
            <x v="3"/>
          </reference>
          <reference field="6" count="1" selected="0">
            <x v="0"/>
          </reference>
        </references>
      </pivotArea>
    </format>
    <format dxfId="89">
      <pivotArea dataOnly="0" grandRow="1" axis="axisRow" fieldPosition="0"/>
    </format>
    <format dxfId="8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2C25-A806-4791-873E-51CDF6713E9C}">
  <dimension ref="A1:I422"/>
  <sheetViews>
    <sheetView workbookViewId="0">
      <selection activeCell="C18" sqref="C18"/>
    </sheetView>
  </sheetViews>
  <sheetFormatPr defaultRowHeight="14.4" x14ac:dyDescent="0.3"/>
  <cols>
    <col min="1" max="1" width="19" customWidth="1"/>
    <col min="2" max="3" width="17.21875" customWidth="1"/>
    <col min="4" max="4" width="18.5546875" customWidth="1"/>
    <col min="5" max="5" width="17.77734375" customWidth="1"/>
    <col min="6" max="6" width="28.5546875" customWidth="1"/>
    <col min="7" max="7" width="27.109375" customWidth="1"/>
    <col min="8" max="8" width="14.88671875" customWidth="1"/>
    <col min="9" max="9" width="17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>
        <v>45931</v>
      </c>
      <c r="C2" s="4">
        <f t="shared" ref="C2:C65" si="0">DATE(YEAR(B2),MONTH(B2),1)</f>
        <v>45931</v>
      </c>
      <c r="D2" s="5" t="s">
        <v>10</v>
      </c>
      <c r="E2" s="5" t="s">
        <v>11</v>
      </c>
      <c r="F2" s="5" t="s">
        <v>12</v>
      </c>
      <c r="G2" s="5" t="s">
        <v>13</v>
      </c>
      <c r="H2" s="2" t="s">
        <v>14</v>
      </c>
      <c r="I2" s="6">
        <v>8500</v>
      </c>
    </row>
    <row r="3" spans="1:9" x14ac:dyDescent="0.3">
      <c r="A3" s="7" t="s">
        <v>15</v>
      </c>
      <c r="B3" s="8">
        <v>45931</v>
      </c>
      <c r="C3" s="9">
        <f t="shared" si="0"/>
        <v>45931</v>
      </c>
      <c r="D3" s="10" t="s">
        <v>16</v>
      </c>
      <c r="E3" s="10" t="s">
        <v>17</v>
      </c>
      <c r="F3" s="10" t="s">
        <v>18</v>
      </c>
      <c r="G3" s="10" t="s">
        <v>19</v>
      </c>
      <c r="H3" s="7" t="s">
        <v>20</v>
      </c>
      <c r="I3" s="11">
        <v>2494</v>
      </c>
    </row>
    <row r="4" spans="1:9" x14ac:dyDescent="0.3">
      <c r="A4" s="2" t="s">
        <v>21</v>
      </c>
      <c r="B4" s="3">
        <v>45931</v>
      </c>
      <c r="C4" s="4">
        <f t="shared" si="0"/>
        <v>45931</v>
      </c>
      <c r="D4" s="5" t="s">
        <v>22</v>
      </c>
      <c r="E4" s="5" t="s">
        <v>23</v>
      </c>
      <c r="F4" s="5" t="s">
        <v>24</v>
      </c>
      <c r="G4" s="5" t="s">
        <v>19</v>
      </c>
      <c r="H4" s="2" t="s">
        <v>14</v>
      </c>
      <c r="I4" s="6">
        <v>344</v>
      </c>
    </row>
    <row r="5" spans="1:9" x14ac:dyDescent="0.3">
      <c r="A5" s="7" t="s">
        <v>25</v>
      </c>
      <c r="B5" s="8">
        <v>45933</v>
      </c>
      <c r="C5" s="9">
        <f t="shared" si="0"/>
        <v>45931</v>
      </c>
      <c r="D5" s="10" t="s">
        <v>26</v>
      </c>
      <c r="E5" s="10" t="s">
        <v>27</v>
      </c>
      <c r="F5" s="10" t="s">
        <v>28</v>
      </c>
      <c r="G5" s="10" t="s">
        <v>13</v>
      </c>
      <c r="H5" s="7" t="s">
        <v>20</v>
      </c>
      <c r="I5" s="11">
        <v>120</v>
      </c>
    </row>
    <row r="6" spans="1:9" x14ac:dyDescent="0.3">
      <c r="A6" s="2" t="s">
        <v>29</v>
      </c>
      <c r="B6" s="3">
        <v>45933</v>
      </c>
      <c r="C6" s="4">
        <f t="shared" si="0"/>
        <v>45931</v>
      </c>
      <c r="D6" s="5" t="s">
        <v>30</v>
      </c>
      <c r="E6" s="5" t="s">
        <v>31</v>
      </c>
      <c r="F6" s="5" t="s">
        <v>32</v>
      </c>
      <c r="G6" s="5" t="s">
        <v>19</v>
      </c>
      <c r="H6" s="2" t="s">
        <v>14</v>
      </c>
      <c r="I6" s="6">
        <v>2483</v>
      </c>
    </row>
    <row r="7" spans="1:9" x14ac:dyDescent="0.3">
      <c r="A7" s="7" t="s">
        <v>33</v>
      </c>
      <c r="B7" s="8">
        <v>45933</v>
      </c>
      <c r="C7" s="9">
        <f t="shared" si="0"/>
        <v>45931</v>
      </c>
      <c r="D7" s="10" t="s">
        <v>10</v>
      </c>
      <c r="E7" s="10" t="s">
        <v>34</v>
      </c>
      <c r="F7" s="10" t="s">
        <v>35</v>
      </c>
      <c r="G7" s="10" t="s">
        <v>36</v>
      </c>
      <c r="H7" s="7" t="s">
        <v>14</v>
      </c>
      <c r="I7" s="11">
        <v>1080</v>
      </c>
    </row>
    <row r="8" spans="1:9" x14ac:dyDescent="0.3">
      <c r="A8" s="2" t="s">
        <v>37</v>
      </c>
      <c r="B8" s="3">
        <v>45934</v>
      </c>
      <c r="C8" s="4">
        <f t="shared" si="0"/>
        <v>45931</v>
      </c>
      <c r="D8" s="5" t="s">
        <v>26</v>
      </c>
      <c r="E8" s="5" t="s">
        <v>38</v>
      </c>
      <c r="F8" s="5" t="s">
        <v>39</v>
      </c>
      <c r="G8" s="5" t="s">
        <v>19</v>
      </c>
      <c r="H8" s="2" t="s">
        <v>14</v>
      </c>
      <c r="I8" s="6">
        <v>683</v>
      </c>
    </row>
    <row r="9" spans="1:9" x14ac:dyDescent="0.3">
      <c r="A9" s="7" t="s">
        <v>40</v>
      </c>
      <c r="B9" s="8">
        <v>45936</v>
      </c>
      <c r="C9" s="9">
        <f t="shared" si="0"/>
        <v>45931</v>
      </c>
      <c r="D9" s="10" t="s">
        <v>22</v>
      </c>
      <c r="E9" s="10" t="s">
        <v>23</v>
      </c>
      <c r="F9" s="10" t="s">
        <v>41</v>
      </c>
      <c r="G9" s="10" t="s">
        <v>42</v>
      </c>
      <c r="H9" s="7" t="s">
        <v>14</v>
      </c>
      <c r="I9" s="11">
        <v>573</v>
      </c>
    </row>
    <row r="10" spans="1:9" x14ac:dyDescent="0.3">
      <c r="A10" s="2" t="s">
        <v>43</v>
      </c>
      <c r="B10" s="3">
        <v>45938</v>
      </c>
      <c r="C10" s="4">
        <f t="shared" si="0"/>
        <v>45931</v>
      </c>
      <c r="D10" s="5" t="s">
        <v>16</v>
      </c>
      <c r="E10" s="5" t="s">
        <v>44</v>
      </c>
      <c r="F10" s="5" t="s">
        <v>45</v>
      </c>
      <c r="G10" s="5" t="s">
        <v>19</v>
      </c>
      <c r="H10" s="2" t="s">
        <v>20</v>
      </c>
      <c r="I10" s="6">
        <v>390</v>
      </c>
    </row>
    <row r="11" spans="1:9" x14ac:dyDescent="0.3">
      <c r="A11" s="7" t="s">
        <v>46</v>
      </c>
      <c r="B11" s="8">
        <v>45938</v>
      </c>
      <c r="C11" s="9">
        <f t="shared" si="0"/>
        <v>45931</v>
      </c>
      <c r="D11" s="10" t="s">
        <v>47</v>
      </c>
      <c r="E11" s="10" t="s">
        <v>48</v>
      </c>
      <c r="F11" s="10" t="s">
        <v>49</v>
      </c>
      <c r="G11" s="10" t="s">
        <v>19</v>
      </c>
      <c r="H11" s="7" t="s">
        <v>14</v>
      </c>
      <c r="I11" s="11">
        <v>398</v>
      </c>
    </row>
    <row r="12" spans="1:9" x14ac:dyDescent="0.3">
      <c r="A12" s="2" t="s">
        <v>50</v>
      </c>
      <c r="B12" s="3">
        <v>45939</v>
      </c>
      <c r="C12" s="4">
        <f t="shared" si="0"/>
        <v>45931</v>
      </c>
      <c r="D12" s="5" t="s">
        <v>51</v>
      </c>
      <c r="E12" s="5" t="s">
        <v>52</v>
      </c>
      <c r="F12" s="5" t="s">
        <v>53</v>
      </c>
      <c r="G12" s="5" t="s">
        <v>19</v>
      </c>
      <c r="H12" s="2" t="s">
        <v>14</v>
      </c>
      <c r="I12" s="6">
        <v>321</v>
      </c>
    </row>
    <row r="13" spans="1:9" x14ac:dyDescent="0.3">
      <c r="A13" s="7" t="s">
        <v>54</v>
      </c>
      <c r="B13" s="8">
        <v>45939</v>
      </c>
      <c r="C13" s="9">
        <f t="shared" si="0"/>
        <v>45931</v>
      </c>
      <c r="D13" s="10" t="s">
        <v>26</v>
      </c>
      <c r="E13" s="10" t="s">
        <v>38</v>
      </c>
      <c r="F13" s="10" t="s">
        <v>55</v>
      </c>
      <c r="G13" s="10" t="s">
        <v>13</v>
      </c>
      <c r="H13" s="7" t="s">
        <v>14</v>
      </c>
      <c r="I13" s="11">
        <v>1572</v>
      </c>
    </row>
    <row r="14" spans="1:9" x14ac:dyDescent="0.3">
      <c r="A14" s="2" t="s">
        <v>56</v>
      </c>
      <c r="B14" s="3">
        <v>45939</v>
      </c>
      <c r="C14" s="4">
        <f t="shared" si="0"/>
        <v>45931</v>
      </c>
      <c r="D14" s="5" t="s">
        <v>47</v>
      </c>
      <c r="E14" s="5" t="s">
        <v>48</v>
      </c>
      <c r="F14" s="5" t="s">
        <v>57</v>
      </c>
      <c r="G14" s="5" t="s">
        <v>58</v>
      </c>
      <c r="H14" s="2" t="s">
        <v>14</v>
      </c>
      <c r="I14" s="6">
        <v>1086</v>
      </c>
    </row>
    <row r="15" spans="1:9" x14ac:dyDescent="0.3">
      <c r="A15" s="7" t="s">
        <v>59</v>
      </c>
      <c r="B15" s="8">
        <v>45940</v>
      </c>
      <c r="C15" s="9">
        <f t="shared" si="0"/>
        <v>45931</v>
      </c>
      <c r="D15" s="10" t="s">
        <v>26</v>
      </c>
      <c r="E15" s="10" t="s">
        <v>38</v>
      </c>
      <c r="F15" s="10" t="s">
        <v>60</v>
      </c>
      <c r="G15" s="10" t="s">
        <v>36</v>
      </c>
      <c r="H15" s="7" t="s">
        <v>14</v>
      </c>
      <c r="I15" s="11">
        <v>1798</v>
      </c>
    </row>
    <row r="16" spans="1:9" x14ac:dyDescent="0.3">
      <c r="A16" s="2" t="s">
        <v>61</v>
      </c>
      <c r="B16" s="3">
        <v>45942</v>
      </c>
      <c r="C16" s="4">
        <f t="shared" si="0"/>
        <v>45931</v>
      </c>
      <c r="D16" s="5" t="s">
        <v>26</v>
      </c>
      <c r="E16" s="5" t="s">
        <v>27</v>
      </c>
      <c r="F16" s="5" t="s">
        <v>62</v>
      </c>
      <c r="G16" s="5" t="s">
        <v>19</v>
      </c>
      <c r="H16" s="2" t="s">
        <v>20</v>
      </c>
      <c r="I16" s="6">
        <v>219</v>
      </c>
    </row>
    <row r="17" spans="1:9" x14ac:dyDescent="0.3">
      <c r="A17" s="7" t="s">
        <v>63</v>
      </c>
      <c r="B17" s="8">
        <v>45942</v>
      </c>
      <c r="C17" s="9">
        <f t="shared" si="0"/>
        <v>45931</v>
      </c>
      <c r="D17" s="10" t="s">
        <v>16</v>
      </c>
      <c r="E17" s="10" t="s">
        <v>64</v>
      </c>
      <c r="F17" s="10" t="s">
        <v>65</v>
      </c>
      <c r="G17" s="10" t="s">
        <v>42</v>
      </c>
      <c r="H17" s="7" t="s">
        <v>20</v>
      </c>
      <c r="I17" s="11">
        <v>1013</v>
      </c>
    </row>
    <row r="18" spans="1:9" x14ac:dyDescent="0.3">
      <c r="A18" s="2" t="s">
        <v>66</v>
      </c>
      <c r="B18" s="3">
        <v>45944</v>
      </c>
      <c r="C18" s="4">
        <f t="shared" si="0"/>
        <v>45931</v>
      </c>
      <c r="D18" s="5" t="s">
        <v>26</v>
      </c>
      <c r="E18" s="5" t="s">
        <v>67</v>
      </c>
      <c r="F18" s="5" t="s">
        <v>68</v>
      </c>
      <c r="G18" s="5" t="s">
        <v>19</v>
      </c>
      <c r="H18" s="2" t="s">
        <v>20</v>
      </c>
      <c r="I18" s="6">
        <v>505</v>
      </c>
    </row>
    <row r="19" spans="1:9" x14ac:dyDescent="0.3">
      <c r="A19" s="7" t="s">
        <v>69</v>
      </c>
      <c r="B19" s="8">
        <v>45945</v>
      </c>
      <c r="C19" s="9">
        <f t="shared" si="0"/>
        <v>45931</v>
      </c>
      <c r="D19" s="10" t="s">
        <v>22</v>
      </c>
      <c r="E19" s="10" t="s">
        <v>70</v>
      </c>
      <c r="F19" s="10" t="s">
        <v>71</v>
      </c>
      <c r="G19" s="10" t="s">
        <v>19</v>
      </c>
      <c r="H19" s="7" t="s">
        <v>20</v>
      </c>
      <c r="I19" s="11">
        <v>6062</v>
      </c>
    </row>
    <row r="20" spans="1:9" x14ac:dyDescent="0.3">
      <c r="A20" s="2" t="s">
        <v>72</v>
      </c>
      <c r="B20" s="3">
        <v>45945</v>
      </c>
      <c r="C20" s="4">
        <f t="shared" si="0"/>
        <v>45931</v>
      </c>
      <c r="D20" s="5" t="s">
        <v>22</v>
      </c>
      <c r="E20" s="5" t="s">
        <v>73</v>
      </c>
      <c r="F20" s="5" t="s">
        <v>74</v>
      </c>
      <c r="G20" s="5" t="s">
        <v>19</v>
      </c>
      <c r="H20" s="2" t="s">
        <v>14</v>
      </c>
      <c r="I20" s="6">
        <v>305</v>
      </c>
    </row>
    <row r="21" spans="1:9" x14ac:dyDescent="0.3">
      <c r="A21" s="7" t="s">
        <v>75</v>
      </c>
      <c r="B21" s="8">
        <v>45947</v>
      </c>
      <c r="C21" s="9">
        <f t="shared" si="0"/>
        <v>45931</v>
      </c>
      <c r="D21" s="10" t="s">
        <v>76</v>
      </c>
      <c r="E21" s="10" t="s">
        <v>77</v>
      </c>
      <c r="F21" s="10" t="s">
        <v>78</v>
      </c>
      <c r="G21" s="10" t="s">
        <v>19</v>
      </c>
      <c r="H21" s="7" t="s">
        <v>20</v>
      </c>
      <c r="I21" s="11">
        <v>449</v>
      </c>
    </row>
    <row r="22" spans="1:9" x14ac:dyDescent="0.3">
      <c r="A22" s="2" t="s">
        <v>79</v>
      </c>
      <c r="B22" s="3">
        <v>45948</v>
      </c>
      <c r="C22" s="4">
        <f t="shared" si="0"/>
        <v>45931</v>
      </c>
      <c r="D22" s="5" t="s">
        <v>26</v>
      </c>
      <c r="E22" s="5" t="s">
        <v>80</v>
      </c>
      <c r="F22" s="5" t="s">
        <v>81</v>
      </c>
      <c r="G22" s="5" t="s">
        <v>58</v>
      </c>
      <c r="H22" s="2" t="s">
        <v>20</v>
      </c>
      <c r="I22" s="6">
        <v>716</v>
      </c>
    </row>
    <row r="23" spans="1:9" x14ac:dyDescent="0.3">
      <c r="A23" s="7" t="s">
        <v>82</v>
      </c>
      <c r="B23" s="8">
        <v>45949</v>
      </c>
      <c r="C23" s="9">
        <f t="shared" si="0"/>
        <v>45931</v>
      </c>
      <c r="D23" s="10" t="s">
        <v>26</v>
      </c>
      <c r="E23" s="10" t="s">
        <v>80</v>
      </c>
      <c r="F23" s="10" t="s">
        <v>83</v>
      </c>
      <c r="G23" s="10" t="s">
        <v>19</v>
      </c>
      <c r="H23" s="7" t="s">
        <v>20</v>
      </c>
      <c r="I23" s="11">
        <v>1324</v>
      </c>
    </row>
    <row r="24" spans="1:9" x14ac:dyDescent="0.3">
      <c r="A24" s="2" t="s">
        <v>84</v>
      </c>
      <c r="B24" s="3">
        <v>45951</v>
      </c>
      <c r="C24" s="4">
        <f t="shared" si="0"/>
        <v>45931</v>
      </c>
      <c r="D24" s="5" t="s">
        <v>26</v>
      </c>
      <c r="E24" s="5" t="s">
        <v>27</v>
      </c>
      <c r="F24" s="5" t="s">
        <v>28</v>
      </c>
      <c r="G24" s="5" t="s">
        <v>19</v>
      </c>
      <c r="H24" s="2" t="s">
        <v>20</v>
      </c>
      <c r="I24" s="6">
        <v>218</v>
      </c>
    </row>
    <row r="25" spans="1:9" x14ac:dyDescent="0.3">
      <c r="A25" s="7" t="s">
        <v>85</v>
      </c>
      <c r="B25" s="8">
        <v>45952</v>
      </c>
      <c r="C25" s="9">
        <f t="shared" si="0"/>
        <v>45931</v>
      </c>
      <c r="D25" s="10" t="s">
        <v>26</v>
      </c>
      <c r="E25" s="10" t="s">
        <v>38</v>
      </c>
      <c r="F25" s="10" t="s">
        <v>39</v>
      </c>
      <c r="G25" s="10" t="s">
        <v>19</v>
      </c>
      <c r="H25" s="7" t="s">
        <v>14</v>
      </c>
      <c r="I25" s="11">
        <v>850</v>
      </c>
    </row>
    <row r="26" spans="1:9" x14ac:dyDescent="0.3">
      <c r="A26" s="2" t="s">
        <v>86</v>
      </c>
      <c r="B26" s="3">
        <v>45952</v>
      </c>
      <c r="C26" s="4">
        <f t="shared" si="0"/>
        <v>45931</v>
      </c>
      <c r="D26" s="5" t="s">
        <v>10</v>
      </c>
      <c r="E26" s="5" t="s">
        <v>87</v>
      </c>
      <c r="F26" s="5" t="s">
        <v>88</v>
      </c>
      <c r="G26" s="5" t="s">
        <v>19</v>
      </c>
      <c r="H26" s="2" t="s">
        <v>14</v>
      </c>
      <c r="I26" s="6">
        <v>434</v>
      </c>
    </row>
    <row r="27" spans="1:9" x14ac:dyDescent="0.3">
      <c r="A27" s="7" t="s">
        <v>89</v>
      </c>
      <c r="B27" s="8">
        <v>45953</v>
      </c>
      <c r="C27" s="9">
        <f t="shared" si="0"/>
        <v>45931</v>
      </c>
      <c r="D27" s="10" t="s">
        <v>26</v>
      </c>
      <c r="E27" s="10" t="s">
        <v>67</v>
      </c>
      <c r="F27" s="10" t="s">
        <v>68</v>
      </c>
      <c r="G27" s="10" t="s">
        <v>42</v>
      </c>
      <c r="H27" s="7" t="s">
        <v>20</v>
      </c>
      <c r="I27" s="11">
        <v>594</v>
      </c>
    </row>
    <row r="28" spans="1:9" x14ac:dyDescent="0.3">
      <c r="A28" s="2" t="s">
        <v>90</v>
      </c>
      <c r="B28" s="3">
        <v>45954</v>
      </c>
      <c r="C28" s="4">
        <f t="shared" si="0"/>
        <v>45931</v>
      </c>
      <c r="D28" s="5" t="s">
        <v>26</v>
      </c>
      <c r="E28" s="5" t="s">
        <v>27</v>
      </c>
      <c r="F28" s="5" t="s">
        <v>91</v>
      </c>
      <c r="G28" s="5" t="s">
        <v>19</v>
      </c>
      <c r="H28" s="2" t="s">
        <v>20</v>
      </c>
      <c r="I28" s="6">
        <v>249</v>
      </c>
    </row>
    <row r="29" spans="1:9" x14ac:dyDescent="0.3">
      <c r="A29" s="7" t="s">
        <v>92</v>
      </c>
      <c r="B29" s="8">
        <v>45955</v>
      </c>
      <c r="C29" s="9">
        <f t="shared" si="0"/>
        <v>45931</v>
      </c>
      <c r="D29" s="10" t="s">
        <v>26</v>
      </c>
      <c r="E29" s="10" t="s">
        <v>80</v>
      </c>
      <c r="F29" s="10" t="s">
        <v>93</v>
      </c>
      <c r="G29" s="10" t="s">
        <v>19</v>
      </c>
      <c r="H29" s="7" t="s">
        <v>20</v>
      </c>
      <c r="I29" s="11">
        <v>928</v>
      </c>
    </row>
    <row r="30" spans="1:9" x14ac:dyDescent="0.3">
      <c r="A30" s="2" t="s">
        <v>94</v>
      </c>
      <c r="B30" s="3">
        <v>45957</v>
      </c>
      <c r="C30" s="4">
        <f t="shared" si="0"/>
        <v>45931</v>
      </c>
      <c r="D30" s="5" t="s">
        <v>26</v>
      </c>
      <c r="E30" s="5" t="s">
        <v>80</v>
      </c>
      <c r="F30" s="5" t="s">
        <v>81</v>
      </c>
      <c r="G30" s="5" t="s">
        <v>58</v>
      </c>
      <c r="H30" s="2" t="s">
        <v>20</v>
      </c>
      <c r="I30" s="6">
        <v>670</v>
      </c>
    </row>
    <row r="31" spans="1:9" x14ac:dyDescent="0.3">
      <c r="A31" s="7" t="s">
        <v>95</v>
      </c>
      <c r="B31" s="8">
        <v>45957</v>
      </c>
      <c r="C31" s="9">
        <f t="shared" si="0"/>
        <v>45931</v>
      </c>
      <c r="D31" s="10" t="s">
        <v>47</v>
      </c>
      <c r="E31" s="10" t="s">
        <v>48</v>
      </c>
      <c r="F31" s="10" t="s">
        <v>49</v>
      </c>
      <c r="G31" s="10" t="s">
        <v>19</v>
      </c>
      <c r="H31" s="7" t="s">
        <v>14</v>
      </c>
      <c r="I31" s="11">
        <v>493</v>
      </c>
    </row>
    <row r="32" spans="1:9" x14ac:dyDescent="0.3">
      <c r="A32" s="2" t="s">
        <v>96</v>
      </c>
      <c r="B32" s="3">
        <v>45958</v>
      </c>
      <c r="C32" s="4">
        <f t="shared" si="0"/>
        <v>45931</v>
      </c>
      <c r="D32" s="5" t="s">
        <v>76</v>
      </c>
      <c r="E32" s="5" t="s">
        <v>97</v>
      </c>
      <c r="F32" s="5" t="s">
        <v>98</v>
      </c>
      <c r="G32" s="5" t="s">
        <v>36</v>
      </c>
      <c r="H32" s="2" t="s">
        <v>20</v>
      </c>
      <c r="I32" s="6">
        <v>397</v>
      </c>
    </row>
    <row r="33" spans="1:9" x14ac:dyDescent="0.3">
      <c r="A33" s="7" t="s">
        <v>99</v>
      </c>
      <c r="B33" s="8">
        <v>45958</v>
      </c>
      <c r="C33" s="9">
        <f t="shared" si="0"/>
        <v>45931</v>
      </c>
      <c r="D33" s="10" t="s">
        <v>26</v>
      </c>
      <c r="E33" s="10" t="s">
        <v>80</v>
      </c>
      <c r="F33" s="10" t="s">
        <v>100</v>
      </c>
      <c r="G33" s="10" t="s">
        <v>58</v>
      </c>
      <c r="H33" s="7" t="s">
        <v>20</v>
      </c>
      <c r="I33" s="11">
        <v>424</v>
      </c>
    </row>
    <row r="34" spans="1:9" x14ac:dyDescent="0.3">
      <c r="A34" s="2" t="s">
        <v>101</v>
      </c>
      <c r="B34" s="3">
        <v>45960</v>
      </c>
      <c r="C34" s="4">
        <f t="shared" si="0"/>
        <v>45931</v>
      </c>
      <c r="D34" s="5" t="s">
        <v>26</v>
      </c>
      <c r="E34" s="5" t="s">
        <v>38</v>
      </c>
      <c r="F34" s="5" t="s">
        <v>60</v>
      </c>
      <c r="G34" s="5" t="s">
        <v>19</v>
      </c>
      <c r="H34" s="2" t="s">
        <v>14</v>
      </c>
      <c r="I34" s="6">
        <v>980</v>
      </c>
    </row>
    <row r="35" spans="1:9" x14ac:dyDescent="0.3">
      <c r="A35" s="7" t="s">
        <v>102</v>
      </c>
      <c r="B35" s="8">
        <v>45963</v>
      </c>
      <c r="C35" s="9">
        <f t="shared" si="0"/>
        <v>45962</v>
      </c>
      <c r="D35" s="10" t="s">
        <v>76</v>
      </c>
      <c r="E35" s="10" t="s">
        <v>103</v>
      </c>
      <c r="F35" s="10" t="s">
        <v>104</v>
      </c>
      <c r="G35" s="10" t="s">
        <v>19</v>
      </c>
      <c r="H35" s="7" t="s">
        <v>20</v>
      </c>
      <c r="I35" s="11">
        <v>789</v>
      </c>
    </row>
    <row r="36" spans="1:9" x14ac:dyDescent="0.3">
      <c r="A36" s="2" t="s">
        <v>105</v>
      </c>
      <c r="B36" s="3">
        <v>45964</v>
      </c>
      <c r="C36" s="4">
        <f t="shared" si="0"/>
        <v>45962</v>
      </c>
      <c r="D36" s="5" t="s">
        <v>30</v>
      </c>
      <c r="E36" s="5" t="s">
        <v>106</v>
      </c>
      <c r="F36" s="5" t="s">
        <v>107</v>
      </c>
      <c r="G36" s="5" t="s">
        <v>36</v>
      </c>
      <c r="H36" s="2" t="s">
        <v>14</v>
      </c>
      <c r="I36" s="6">
        <v>1153</v>
      </c>
    </row>
    <row r="37" spans="1:9" x14ac:dyDescent="0.3">
      <c r="A37" s="7" t="s">
        <v>108</v>
      </c>
      <c r="B37" s="8">
        <v>45964</v>
      </c>
      <c r="C37" s="9">
        <f t="shared" si="0"/>
        <v>45962</v>
      </c>
      <c r="D37" s="10" t="s">
        <v>10</v>
      </c>
      <c r="E37" s="10" t="s">
        <v>11</v>
      </c>
      <c r="F37" s="10" t="s">
        <v>12</v>
      </c>
      <c r="G37" s="10" t="s">
        <v>13</v>
      </c>
      <c r="H37" s="7" t="s">
        <v>14</v>
      </c>
      <c r="I37" s="11">
        <v>8500</v>
      </c>
    </row>
    <row r="38" spans="1:9" x14ac:dyDescent="0.3">
      <c r="A38" s="2" t="s">
        <v>109</v>
      </c>
      <c r="B38" s="3">
        <v>45964</v>
      </c>
      <c r="C38" s="4">
        <f t="shared" si="0"/>
        <v>45962</v>
      </c>
      <c r="D38" s="5" t="s">
        <v>22</v>
      </c>
      <c r="E38" s="5" t="s">
        <v>73</v>
      </c>
      <c r="F38" s="5" t="s">
        <v>110</v>
      </c>
      <c r="G38" s="5" t="s">
        <v>58</v>
      </c>
      <c r="H38" s="2" t="s">
        <v>14</v>
      </c>
      <c r="I38" s="6">
        <v>1033</v>
      </c>
    </row>
    <row r="39" spans="1:9" x14ac:dyDescent="0.3">
      <c r="A39" s="7" t="s">
        <v>111</v>
      </c>
      <c r="B39" s="8">
        <v>45965</v>
      </c>
      <c r="C39" s="9">
        <f t="shared" si="0"/>
        <v>45962</v>
      </c>
      <c r="D39" s="10" t="s">
        <v>26</v>
      </c>
      <c r="E39" s="10" t="s">
        <v>27</v>
      </c>
      <c r="F39" s="10" t="s">
        <v>28</v>
      </c>
      <c r="G39" s="10" t="s">
        <v>58</v>
      </c>
      <c r="H39" s="7" t="s">
        <v>20</v>
      </c>
      <c r="I39" s="11">
        <v>191</v>
      </c>
    </row>
    <row r="40" spans="1:9" x14ac:dyDescent="0.3">
      <c r="A40" s="2" t="s">
        <v>112</v>
      </c>
      <c r="B40" s="3">
        <v>45966</v>
      </c>
      <c r="C40" s="4">
        <f t="shared" si="0"/>
        <v>45962</v>
      </c>
      <c r="D40" s="5" t="s">
        <v>76</v>
      </c>
      <c r="E40" s="5" t="s">
        <v>97</v>
      </c>
      <c r="F40" s="5" t="s">
        <v>113</v>
      </c>
      <c r="G40" s="5" t="s">
        <v>36</v>
      </c>
      <c r="H40" s="2" t="s">
        <v>20</v>
      </c>
      <c r="I40" s="6">
        <v>488</v>
      </c>
    </row>
    <row r="41" spans="1:9" x14ac:dyDescent="0.3">
      <c r="A41" s="7" t="s">
        <v>114</v>
      </c>
      <c r="B41" s="8">
        <v>45970</v>
      </c>
      <c r="C41" s="9">
        <f t="shared" si="0"/>
        <v>45962</v>
      </c>
      <c r="D41" s="10" t="s">
        <v>26</v>
      </c>
      <c r="E41" s="10" t="s">
        <v>80</v>
      </c>
      <c r="F41" s="10" t="s">
        <v>83</v>
      </c>
      <c r="G41" s="10" t="s">
        <v>19</v>
      </c>
      <c r="H41" s="7" t="s">
        <v>20</v>
      </c>
      <c r="I41" s="11">
        <v>462</v>
      </c>
    </row>
    <row r="42" spans="1:9" x14ac:dyDescent="0.3">
      <c r="A42" s="2" t="s">
        <v>115</v>
      </c>
      <c r="B42" s="3">
        <v>45976</v>
      </c>
      <c r="C42" s="4">
        <f t="shared" si="0"/>
        <v>45962</v>
      </c>
      <c r="D42" s="5" t="s">
        <v>30</v>
      </c>
      <c r="E42" s="5" t="s">
        <v>116</v>
      </c>
      <c r="F42" s="5" t="s">
        <v>117</v>
      </c>
      <c r="G42" s="5" t="s">
        <v>36</v>
      </c>
      <c r="H42" s="2" t="s">
        <v>14</v>
      </c>
      <c r="I42" s="6">
        <v>678</v>
      </c>
    </row>
    <row r="43" spans="1:9" x14ac:dyDescent="0.3">
      <c r="A43" s="7" t="s">
        <v>118</v>
      </c>
      <c r="B43" s="8">
        <v>45977</v>
      </c>
      <c r="C43" s="9">
        <f t="shared" si="0"/>
        <v>45962</v>
      </c>
      <c r="D43" s="10" t="s">
        <v>10</v>
      </c>
      <c r="E43" s="10" t="s">
        <v>87</v>
      </c>
      <c r="F43" s="10" t="s">
        <v>119</v>
      </c>
      <c r="G43" s="10" t="s">
        <v>42</v>
      </c>
      <c r="H43" s="7" t="s">
        <v>14</v>
      </c>
      <c r="I43" s="11">
        <v>1964</v>
      </c>
    </row>
    <row r="44" spans="1:9" x14ac:dyDescent="0.3">
      <c r="A44" s="2" t="s">
        <v>120</v>
      </c>
      <c r="B44" s="3">
        <v>45978</v>
      </c>
      <c r="C44" s="4">
        <f t="shared" si="0"/>
        <v>45962</v>
      </c>
      <c r="D44" s="5" t="s">
        <v>30</v>
      </c>
      <c r="E44" s="5" t="s">
        <v>106</v>
      </c>
      <c r="F44" s="5" t="s">
        <v>107</v>
      </c>
      <c r="G44" s="5" t="s">
        <v>42</v>
      </c>
      <c r="H44" s="2" t="s">
        <v>14</v>
      </c>
      <c r="I44" s="6">
        <v>508</v>
      </c>
    </row>
    <row r="45" spans="1:9" x14ac:dyDescent="0.3">
      <c r="A45" s="7" t="s">
        <v>121</v>
      </c>
      <c r="B45" s="8">
        <v>45978</v>
      </c>
      <c r="C45" s="9">
        <f t="shared" si="0"/>
        <v>45962</v>
      </c>
      <c r="D45" s="10" t="s">
        <v>22</v>
      </c>
      <c r="E45" s="10" t="s">
        <v>122</v>
      </c>
      <c r="F45" s="10" t="s">
        <v>123</v>
      </c>
      <c r="G45" s="10" t="s">
        <v>36</v>
      </c>
      <c r="H45" s="7" t="s">
        <v>20</v>
      </c>
      <c r="I45" s="11">
        <v>212</v>
      </c>
    </row>
    <row r="46" spans="1:9" x14ac:dyDescent="0.3">
      <c r="A46" s="2" t="s">
        <v>124</v>
      </c>
      <c r="B46" s="3">
        <v>45980</v>
      </c>
      <c r="C46" s="4">
        <f t="shared" si="0"/>
        <v>45962</v>
      </c>
      <c r="D46" s="5" t="s">
        <v>22</v>
      </c>
      <c r="E46" s="5" t="s">
        <v>122</v>
      </c>
      <c r="F46" s="5" t="s">
        <v>123</v>
      </c>
      <c r="G46" s="5" t="s">
        <v>19</v>
      </c>
      <c r="H46" s="2" t="s">
        <v>20</v>
      </c>
      <c r="I46" s="6">
        <v>378</v>
      </c>
    </row>
    <row r="47" spans="1:9" x14ac:dyDescent="0.3">
      <c r="A47" s="7" t="s">
        <v>125</v>
      </c>
      <c r="B47" s="8">
        <v>45980</v>
      </c>
      <c r="C47" s="9">
        <f t="shared" si="0"/>
        <v>45962</v>
      </c>
      <c r="D47" s="10" t="s">
        <v>22</v>
      </c>
      <c r="E47" s="10" t="s">
        <v>70</v>
      </c>
      <c r="F47" s="10" t="s">
        <v>71</v>
      </c>
      <c r="G47" s="10" t="s">
        <v>19</v>
      </c>
      <c r="H47" s="7" t="s">
        <v>20</v>
      </c>
      <c r="I47" s="11">
        <v>4331</v>
      </c>
    </row>
    <row r="48" spans="1:9" x14ac:dyDescent="0.3">
      <c r="A48" s="2" t="s">
        <v>126</v>
      </c>
      <c r="B48" s="3">
        <v>45981</v>
      </c>
      <c r="C48" s="4">
        <f t="shared" si="0"/>
        <v>45962</v>
      </c>
      <c r="D48" s="5" t="s">
        <v>30</v>
      </c>
      <c r="E48" s="5" t="s">
        <v>127</v>
      </c>
      <c r="F48" s="5" t="s">
        <v>128</v>
      </c>
      <c r="G48" s="5" t="s">
        <v>19</v>
      </c>
      <c r="H48" s="2" t="s">
        <v>20</v>
      </c>
      <c r="I48" s="6">
        <v>958</v>
      </c>
    </row>
    <row r="49" spans="1:9" x14ac:dyDescent="0.3">
      <c r="A49" s="7" t="s">
        <v>129</v>
      </c>
      <c r="B49" s="8">
        <v>45981</v>
      </c>
      <c r="C49" s="9">
        <f t="shared" si="0"/>
        <v>45962</v>
      </c>
      <c r="D49" s="10" t="s">
        <v>47</v>
      </c>
      <c r="E49" s="10" t="s">
        <v>130</v>
      </c>
      <c r="F49" s="10" t="s">
        <v>131</v>
      </c>
      <c r="G49" s="10" t="s">
        <v>19</v>
      </c>
      <c r="H49" s="7" t="s">
        <v>14</v>
      </c>
      <c r="I49" s="11">
        <v>1060</v>
      </c>
    </row>
    <row r="50" spans="1:9" x14ac:dyDescent="0.3">
      <c r="A50" s="2" t="s">
        <v>132</v>
      </c>
      <c r="B50" s="3">
        <v>45984</v>
      </c>
      <c r="C50" s="4">
        <f t="shared" si="0"/>
        <v>45962</v>
      </c>
      <c r="D50" s="5" t="s">
        <v>51</v>
      </c>
      <c r="E50" s="5" t="s">
        <v>133</v>
      </c>
      <c r="F50" s="5" t="s">
        <v>134</v>
      </c>
      <c r="G50" s="5" t="s">
        <v>19</v>
      </c>
      <c r="H50" s="2" t="s">
        <v>14</v>
      </c>
      <c r="I50" s="6">
        <v>1324</v>
      </c>
    </row>
    <row r="51" spans="1:9" x14ac:dyDescent="0.3">
      <c r="A51" s="7" t="s">
        <v>135</v>
      </c>
      <c r="B51" s="8">
        <v>45985</v>
      </c>
      <c r="C51" s="9">
        <f t="shared" si="0"/>
        <v>45962</v>
      </c>
      <c r="D51" s="10" t="s">
        <v>30</v>
      </c>
      <c r="E51" s="10" t="s">
        <v>31</v>
      </c>
      <c r="F51" s="10" t="s">
        <v>136</v>
      </c>
      <c r="G51" s="10" t="s">
        <v>19</v>
      </c>
      <c r="H51" s="7" t="s">
        <v>14</v>
      </c>
      <c r="I51" s="11">
        <v>824</v>
      </c>
    </row>
    <row r="52" spans="1:9" x14ac:dyDescent="0.3">
      <c r="A52" s="2" t="s">
        <v>137</v>
      </c>
      <c r="B52" s="3">
        <v>45985</v>
      </c>
      <c r="C52" s="4">
        <f t="shared" si="0"/>
        <v>45962</v>
      </c>
      <c r="D52" s="5" t="s">
        <v>16</v>
      </c>
      <c r="E52" s="5" t="s">
        <v>138</v>
      </c>
      <c r="F52" s="5" t="s">
        <v>139</v>
      </c>
      <c r="G52" s="5" t="s">
        <v>36</v>
      </c>
      <c r="H52" s="2" t="s">
        <v>20</v>
      </c>
      <c r="I52" s="6">
        <v>4482</v>
      </c>
    </row>
    <row r="53" spans="1:9" x14ac:dyDescent="0.3">
      <c r="A53" s="7" t="s">
        <v>140</v>
      </c>
      <c r="B53" s="8">
        <v>45986</v>
      </c>
      <c r="C53" s="9">
        <f t="shared" si="0"/>
        <v>45962</v>
      </c>
      <c r="D53" s="10" t="s">
        <v>76</v>
      </c>
      <c r="E53" s="10" t="s">
        <v>103</v>
      </c>
      <c r="F53" s="10" t="s">
        <v>104</v>
      </c>
      <c r="G53" s="10" t="s">
        <v>19</v>
      </c>
      <c r="H53" s="7" t="s">
        <v>20</v>
      </c>
      <c r="I53" s="11">
        <v>615</v>
      </c>
    </row>
    <row r="54" spans="1:9" x14ac:dyDescent="0.3">
      <c r="A54" s="2" t="s">
        <v>141</v>
      </c>
      <c r="B54" s="3">
        <v>45986</v>
      </c>
      <c r="C54" s="4">
        <f t="shared" si="0"/>
        <v>45962</v>
      </c>
      <c r="D54" s="5" t="s">
        <v>26</v>
      </c>
      <c r="E54" s="5" t="s">
        <v>67</v>
      </c>
      <c r="F54" s="5" t="s">
        <v>142</v>
      </c>
      <c r="G54" s="5" t="s">
        <v>19</v>
      </c>
      <c r="H54" s="2" t="s">
        <v>20</v>
      </c>
      <c r="I54" s="6">
        <v>151</v>
      </c>
    </row>
    <row r="55" spans="1:9" x14ac:dyDescent="0.3">
      <c r="A55" s="7" t="s">
        <v>143</v>
      </c>
      <c r="B55" s="8">
        <v>45987</v>
      </c>
      <c r="C55" s="9">
        <f t="shared" si="0"/>
        <v>45962</v>
      </c>
      <c r="D55" s="10" t="s">
        <v>10</v>
      </c>
      <c r="E55" s="10" t="s">
        <v>144</v>
      </c>
      <c r="F55" s="10" t="s">
        <v>145</v>
      </c>
      <c r="G55" s="10" t="s">
        <v>36</v>
      </c>
      <c r="H55" s="7" t="s">
        <v>20</v>
      </c>
      <c r="I55" s="11">
        <v>1709</v>
      </c>
    </row>
    <row r="56" spans="1:9" x14ac:dyDescent="0.3">
      <c r="A56" s="2" t="s">
        <v>146</v>
      </c>
      <c r="B56" s="3">
        <v>45989</v>
      </c>
      <c r="C56" s="4">
        <f t="shared" si="0"/>
        <v>45962</v>
      </c>
      <c r="D56" s="5" t="s">
        <v>26</v>
      </c>
      <c r="E56" s="5" t="s">
        <v>80</v>
      </c>
      <c r="F56" s="5" t="s">
        <v>93</v>
      </c>
      <c r="G56" s="5" t="s">
        <v>36</v>
      </c>
      <c r="H56" s="2" t="s">
        <v>20</v>
      </c>
      <c r="I56" s="6">
        <v>726</v>
      </c>
    </row>
    <row r="57" spans="1:9" x14ac:dyDescent="0.3">
      <c r="A57" s="7" t="s">
        <v>147</v>
      </c>
      <c r="B57" s="8">
        <v>45989</v>
      </c>
      <c r="C57" s="9">
        <f t="shared" si="0"/>
        <v>45962</v>
      </c>
      <c r="D57" s="10" t="s">
        <v>30</v>
      </c>
      <c r="E57" s="10" t="s">
        <v>127</v>
      </c>
      <c r="F57" s="10" t="s">
        <v>148</v>
      </c>
      <c r="G57" s="10" t="s">
        <v>42</v>
      </c>
      <c r="H57" s="7" t="s">
        <v>20</v>
      </c>
      <c r="I57" s="11">
        <v>1300</v>
      </c>
    </row>
    <row r="58" spans="1:9" x14ac:dyDescent="0.3">
      <c r="A58" s="2" t="s">
        <v>149</v>
      </c>
      <c r="B58" s="3">
        <v>45989</v>
      </c>
      <c r="C58" s="4">
        <f t="shared" si="0"/>
        <v>45962</v>
      </c>
      <c r="D58" s="5" t="s">
        <v>16</v>
      </c>
      <c r="E58" s="5" t="s">
        <v>17</v>
      </c>
      <c r="F58" s="5" t="s">
        <v>18</v>
      </c>
      <c r="G58" s="5" t="s">
        <v>42</v>
      </c>
      <c r="H58" s="2" t="s">
        <v>20</v>
      </c>
      <c r="I58" s="6">
        <v>2373</v>
      </c>
    </row>
    <row r="59" spans="1:9" x14ac:dyDescent="0.3">
      <c r="A59" s="7" t="s">
        <v>150</v>
      </c>
      <c r="B59" s="8">
        <v>45991</v>
      </c>
      <c r="C59" s="9">
        <f t="shared" si="0"/>
        <v>45962</v>
      </c>
      <c r="D59" s="10" t="s">
        <v>26</v>
      </c>
      <c r="E59" s="10" t="s">
        <v>38</v>
      </c>
      <c r="F59" s="10" t="s">
        <v>151</v>
      </c>
      <c r="G59" s="10" t="s">
        <v>19</v>
      </c>
      <c r="H59" s="7" t="s">
        <v>14</v>
      </c>
      <c r="I59" s="11">
        <v>464</v>
      </c>
    </row>
    <row r="60" spans="1:9" x14ac:dyDescent="0.3">
      <c r="A60" s="2" t="s">
        <v>152</v>
      </c>
      <c r="B60" s="3">
        <v>45992</v>
      </c>
      <c r="C60" s="4">
        <f t="shared" si="0"/>
        <v>45992</v>
      </c>
      <c r="D60" s="5" t="s">
        <v>76</v>
      </c>
      <c r="E60" s="5" t="s">
        <v>103</v>
      </c>
      <c r="F60" s="5" t="s">
        <v>153</v>
      </c>
      <c r="G60" s="5" t="s">
        <v>19</v>
      </c>
      <c r="H60" s="2" t="s">
        <v>20</v>
      </c>
      <c r="I60" s="6">
        <v>457</v>
      </c>
    </row>
    <row r="61" spans="1:9" x14ac:dyDescent="0.3">
      <c r="A61" s="7" t="s">
        <v>154</v>
      </c>
      <c r="B61" s="8">
        <v>45992</v>
      </c>
      <c r="C61" s="9">
        <f t="shared" si="0"/>
        <v>45992</v>
      </c>
      <c r="D61" s="10" t="s">
        <v>10</v>
      </c>
      <c r="E61" s="10" t="s">
        <v>87</v>
      </c>
      <c r="F61" s="10" t="s">
        <v>119</v>
      </c>
      <c r="G61" s="10" t="s">
        <v>19</v>
      </c>
      <c r="H61" s="7" t="s">
        <v>14</v>
      </c>
      <c r="I61" s="11">
        <v>766</v>
      </c>
    </row>
    <row r="62" spans="1:9" x14ac:dyDescent="0.3">
      <c r="A62" s="2" t="s">
        <v>155</v>
      </c>
      <c r="B62" s="3">
        <v>45993</v>
      </c>
      <c r="C62" s="4">
        <f t="shared" si="0"/>
        <v>45992</v>
      </c>
      <c r="D62" s="5" t="s">
        <v>26</v>
      </c>
      <c r="E62" s="5" t="s">
        <v>80</v>
      </c>
      <c r="F62" s="5" t="s">
        <v>81</v>
      </c>
      <c r="G62" s="5" t="s">
        <v>19</v>
      </c>
      <c r="H62" s="2" t="s">
        <v>20</v>
      </c>
      <c r="I62" s="6">
        <v>228</v>
      </c>
    </row>
    <row r="63" spans="1:9" x14ac:dyDescent="0.3">
      <c r="A63" s="7" t="s">
        <v>156</v>
      </c>
      <c r="B63" s="8">
        <v>45993</v>
      </c>
      <c r="C63" s="9">
        <f t="shared" si="0"/>
        <v>45992</v>
      </c>
      <c r="D63" s="10" t="s">
        <v>16</v>
      </c>
      <c r="E63" s="10" t="s">
        <v>64</v>
      </c>
      <c r="F63" s="10" t="s">
        <v>157</v>
      </c>
      <c r="G63" s="10" t="s">
        <v>19</v>
      </c>
      <c r="H63" s="7" t="s">
        <v>20</v>
      </c>
      <c r="I63" s="11">
        <v>913</v>
      </c>
    </row>
    <row r="64" spans="1:9" x14ac:dyDescent="0.3">
      <c r="A64" s="2" t="s">
        <v>158</v>
      </c>
      <c r="B64" s="3">
        <v>45993</v>
      </c>
      <c r="C64" s="4">
        <f t="shared" si="0"/>
        <v>45992</v>
      </c>
      <c r="D64" s="5" t="s">
        <v>16</v>
      </c>
      <c r="E64" s="5" t="s">
        <v>17</v>
      </c>
      <c r="F64" s="5" t="s">
        <v>18</v>
      </c>
      <c r="G64" s="5" t="s">
        <v>19</v>
      </c>
      <c r="H64" s="2" t="s">
        <v>20</v>
      </c>
      <c r="I64" s="6">
        <v>938</v>
      </c>
    </row>
    <row r="65" spans="1:9" x14ac:dyDescent="0.3">
      <c r="A65" s="7" t="s">
        <v>159</v>
      </c>
      <c r="B65" s="8">
        <v>45993</v>
      </c>
      <c r="C65" s="9">
        <f t="shared" si="0"/>
        <v>45992</v>
      </c>
      <c r="D65" s="10" t="s">
        <v>22</v>
      </c>
      <c r="E65" s="10" t="s">
        <v>23</v>
      </c>
      <c r="F65" s="10" t="s">
        <v>160</v>
      </c>
      <c r="G65" s="10" t="s">
        <v>19</v>
      </c>
      <c r="H65" s="7" t="s">
        <v>14</v>
      </c>
      <c r="I65" s="11">
        <v>292</v>
      </c>
    </row>
    <row r="66" spans="1:9" x14ac:dyDescent="0.3">
      <c r="A66" s="2" t="s">
        <v>161</v>
      </c>
      <c r="B66" s="3">
        <v>45993</v>
      </c>
      <c r="C66" s="4">
        <f t="shared" ref="C66:C129" si="1">DATE(YEAR(B66),MONTH(B66),1)</f>
        <v>45992</v>
      </c>
      <c r="D66" s="5" t="s">
        <v>22</v>
      </c>
      <c r="E66" s="5" t="s">
        <v>73</v>
      </c>
      <c r="F66" s="5" t="s">
        <v>162</v>
      </c>
      <c r="G66" s="5" t="s">
        <v>19</v>
      </c>
      <c r="H66" s="2" t="s">
        <v>14</v>
      </c>
      <c r="I66" s="6">
        <v>700</v>
      </c>
    </row>
    <row r="67" spans="1:9" x14ac:dyDescent="0.3">
      <c r="A67" s="7" t="s">
        <v>163</v>
      </c>
      <c r="B67" s="8">
        <v>45993</v>
      </c>
      <c r="C67" s="9">
        <f t="shared" si="1"/>
        <v>45992</v>
      </c>
      <c r="D67" s="10" t="s">
        <v>47</v>
      </c>
      <c r="E67" s="10" t="s">
        <v>48</v>
      </c>
      <c r="F67" s="10" t="s">
        <v>57</v>
      </c>
      <c r="G67" s="10" t="s">
        <v>19</v>
      </c>
      <c r="H67" s="7" t="s">
        <v>14</v>
      </c>
      <c r="I67" s="11">
        <v>358</v>
      </c>
    </row>
    <row r="68" spans="1:9" x14ac:dyDescent="0.3">
      <c r="A68" s="2" t="s">
        <v>164</v>
      </c>
      <c r="B68" s="3">
        <v>45994</v>
      </c>
      <c r="C68" s="4">
        <f t="shared" si="1"/>
        <v>45992</v>
      </c>
      <c r="D68" s="5" t="s">
        <v>10</v>
      </c>
      <c r="E68" s="5" t="s">
        <v>34</v>
      </c>
      <c r="F68" s="5" t="s">
        <v>165</v>
      </c>
      <c r="G68" s="5" t="s">
        <v>19</v>
      </c>
      <c r="H68" s="2" t="s">
        <v>14</v>
      </c>
      <c r="I68" s="6">
        <v>574</v>
      </c>
    </row>
    <row r="69" spans="1:9" x14ac:dyDescent="0.3">
      <c r="A69" s="7" t="s">
        <v>166</v>
      </c>
      <c r="B69" s="8">
        <v>45994</v>
      </c>
      <c r="C69" s="9">
        <f t="shared" si="1"/>
        <v>45992</v>
      </c>
      <c r="D69" s="10" t="s">
        <v>22</v>
      </c>
      <c r="E69" s="10" t="s">
        <v>122</v>
      </c>
      <c r="F69" s="10" t="s">
        <v>123</v>
      </c>
      <c r="G69" s="10" t="s">
        <v>19</v>
      </c>
      <c r="H69" s="7" t="s">
        <v>20</v>
      </c>
      <c r="I69" s="11">
        <v>279</v>
      </c>
    </row>
    <row r="70" spans="1:9" x14ac:dyDescent="0.3">
      <c r="A70" s="2" t="s">
        <v>167</v>
      </c>
      <c r="B70" s="3">
        <v>45996</v>
      </c>
      <c r="C70" s="4">
        <f t="shared" si="1"/>
        <v>45992</v>
      </c>
      <c r="D70" s="5" t="s">
        <v>10</v>
      </c>
      <c r="E70" s="5" t="s">
        <v>11</v>
      </c>
      <c r="F70" s="5" t="s">
        <v>12</v>
      </c>
      <c r="G70" s="5" t="s">
        <v>13</v>
      </c>
      <c r="H70" s="2" t="s">
        <v>14</v>
      </c>
      <c r="I70" s="6">
        <v>8500</v>
      </c>
    </row>
    <row r="71" spans="1:9" x14ac:dyDescent="0.3">
      <c r="A71" s="7" t="s">
        <v>168</v>
      </c>
      <c r="B71" s="8">
        <v>45996</v>
      </c>
      <c r="C71" s="9">
        <f t="shared" si="1"/>
        <v>45992</v>
      </c>
      <c r="D71" s="10" t="s">
        <v>16</v>
      </c>
      <c r="E71" s="10" t="s">
        <v>17</v>
      </c>
      <c r="F71" s="10" t="s">
        <v>169</v>
      </c>
      <c r="G71" s="10" t="s">
        <v>19</v>
      </c>
      <c r="H71" s="7" t="s">
        <v>20</v>
      </c>
      <c r="I71" s="11">
        <v>2570</v>
      </c>
    </row>
    <row r="72" spans="1:9" x14ac:dyDescent="0.3">
      <c r="A72" s="2" t="s">
        <v>170</v>
      </c>
      <c r="B72" s="3">
        <v>45996</v>
      </c>
      <c r="C72" s="4">
        <f t="shared" si="1"/>
        <v>45992</v>
      </c>
      <c r="D72" s="5" t="s">
        <v>47</v>
      </c>
      <c r="E72" s="5" t="s">
        <v>48</v>
      </c>
      <c r="F72" s="5" t="s">
        <v>57</v>
      </c>
      <c r="G72" s="5" t="s">
        <v>19</v>
      </c>
      <c r="H72" s="2" t="s">
        <v>14</v>
      </c>
      <c r="I72" s="6">
        <v>435</v>
      </c>
    </row>
    <row r="73" spans="1:9" x14ac:dyDescent="0.3">
      <c r="A73" s="7" t="s">
        <v>171</v>
      </c>
      <c r="B73" s="8">
        <v>45997</v>
      </c>
      <c r="C73" s="9">
        <f t="shared" si="1"/>
        <v>45992</v>
      </c>
      <c r="D73" s="10" t="s">
        <v>76</v>
      </c>
      <c r="E73" s="10" t="s">
        <v>103</v>
      </c>
      <c r="F73" s="10" t="s">
        <v>153</v>
      </c>
      <c r="G73" s="10" t="s">
        <v>42</v>
      </c>
      <c r="H73" s="7" t="s">
        <v>20</v>
      </c>
      <c r="I73" s="11">
        <v>603</v>
      </c>
    </row>
    <row r="74" spans="1:9" x14ac:dyDescent="0.3">
      <c r="A74" s="2" t="s">
        <v>172</v>
      </c>
      <c r="B74" s="3">
        <v>45997</v>
      </c>
      <c r="C74" s="4">
        <f t="shared" si="1"/>
        <v>45992</v>
      </c>
      <c r="D74" s="5" t="s">
        <v>26</v>
      </c>
      <c r="E74" s="5" t="s">
        <v>67</v>
      </c>
      <c r="F74" s="5" t="s">
        <v>142</v>
      </c>
      <c r="G74" s="5" t="s">
        <v>13</v>
      </c>
      <c r="H74" s="2" t="s">
        <v>20</v>
      </c>
      <c r="I74" s="6">
        <v>191</v>
      </c>
    </row>
    <row r="75" spans="1:9" x14ac:dyDescent="0.3">
      <c r="A75" s="7" t="s">
        <v>173</v>
      </c>
      <c r="B75" s="8">
        <v>45998</v>
      </c>
      <c r="C75" s="9">
        <f t="shared" si="1"/>
        <v>45992</v>
      </c>
      <c r="D75" s="10" t="s">
        <v>47</v>
      </c>
      <c r="E75" s="10" t="s">
        <v>174</v>
      </c>
      <c r="F75" s="10" t="s">
        <v>175</v>
      </c>
      <c r="G75" s="10" t="s">
        <v>19</v>
      </c>
      <c r="H75" s="7" t="s">
        <v>14</v>
      </c>
      <c r="I75" s="11">
        <v>968</v>
      </c>
    </row>
    <row r="76" spans="1:9" x14ac:dyDescent="0.3">
      <c r="A76" s="2" t="s">
        <v>176</v>
      </c>
      <c r="B76" s="3">
        <v>45999</v>
      </c>
      <c r="C76" s="4">
        <f t="shared" si="1"/>
        <v>45992</v>
      </c>
      <c r="D76" s="5" t="s">
        <v>30</v>
      </c>
      <c r="E76" s="5" t="s">
        <v>116</v>
      </c>
      <c r="F76" s="5" t="s">
        <v>117</v>
      </c>
      <c r="G76" s="5" t="s">
        <v>19</v>
      </c>
      <c r="H76" s="2" t="s">
        <v>14</v>
      </c>
      <c r="I76" s="6">
        <v>615</v>
      </c>
    </row>
    <row r="77" spans="1:9" x14ac:dyDescent="0.3">
      <c r="A77" s="7" t="s">
        <v>177</v>
      </c>
      <c r="B77" s="8">
        <v>46000</v>
      </c>
      <c r="C77" s="9">
        <f t="shared" si="1"/>
        <v>45992</v>
      </c>
      <c r="D77" s="10" t="s">
        <v>22</v>
      </c>
      <c r="E77" s="10" t="s">
        <v>70</v>
      </c>
      <c r="F77" s="10" t="s">
        <v>178</v>
      </c>
      <c r="G77" s="10" t="s">
        <v>36</v>
      </c>
      <c r="H77" s="7" t="s">
        <v>20</v>
      </c>
      <c r="I77" s="11">
        <v>4949</v>
      </c>
    </row>
    <row r="78" spans="1:9" x14ac:dyDescent="0.3">
      <c r="A78" s="2" t="s">
        <v>179</v>
      </c>
      <c r="B78" s="3">
        <v>46001</v>
      </c>
      <c r="C78" s="4">
        <f t="shared" si="1"/>
        <v>45992</v>
      </c>
      <c r="D78" s="5" t="s">
        <v>51</v>
      </c>
      <c r="E78" s="5" t="s">
        <v>180</v>
      </c>
      <c r="F78" s="5" t="s">
        <v>181</v>
      </c>
      <c r="G78" s="5" t="s">
        <v>19</v>
      </c>
      <c r="H78" s="2" t="s">
        <v>14</v>
      </c>
      <c r="I78" s="6">
        <v>3179</v>
      </c>
    </row>
    <row r="79" spans="1:9" x14ac:dyDescent="0.3">
      <c r="A79" s="7" t="s">
        <v>182</v>
      </c>
      <c r="B79" s="8">
        <v>46001</v>
      </c>
      <c r="C79" s="9">
        <f t="shared" si="1"/>
        <v>45992</v>
      </c>
      <c r="D79" s="10" t="s">
        <v>16</v>
      </c>
      <c r="E79" s="10" t="s">
        <v>44</v>
      </c>
      <c r="F79" s="10" t="s">
        <v>183</v>
      </c>
      <c r="G79" s="10" t="s">
        <v>19</v>
      </c>
      <c r="H79" s="7" t="s">
        <v>20</v>
      </c>
      <c r="I79" s="11">
        <v>926</v>
      </c>
    </row>
    <row r="80" spans="1:9" x14ac:dyDescent="0.3">
      <c r="A80" s="2" t="s">
        <v>184</v>
      </c>
      <c r="B80" s="3">
        <v>46001</v>
      </c>
      <c r="C80" s="4">
        <f t="shared" si="1"/>
        <v>45992</v>
      </c>
      <c r="D80" s="5" t="s">
        <v>47</v>
      </c>
      <c r="E80" s="5" t="s">
        <v>48</v>
      </c>
      <c r="F80" s="5" t="s">
        <v>49</v>
      </c>
      <c r="G80" s="5" t="s">
        <v>36</v>
      </c>
      <c r="H80" s="2" t="s">
        <v>14</v>
      </c>
      <c r="I80" s="6">
        <v>478</v>
      </c>
    </row>
    <row r="81" spans="1:9" x14ac:dyDescent="0.3">
      <c r="A81" s="7" t="s">
        <v>185</v>
      </c>
      <c r="B81" s="8">
        <v>46006</v>
      </c>
      <c r="C81" s="9">
        <f t="shared" si="1"/>
        <v>45992</v>
      </c>
      <c r="D81" s="10" t="s">
        <v>30</v>
      </c>
      <c r="E81" s="10" t="s">
        <v>31</v>
      </c>
      <c r="F81" s="10" t="s">
        <v>32</v>
      </c>
      <c r="G81" s="10" t="s">
        <v>58</v>
      </c>
      <c r="H81" s="7" t="s">
        <v>14</v>
      </c>
      <c r="I81" s="11">
        <v>1880</v>
      </c>
    </row>
    <row r="82" spans="1:9" x14ac:dyDescent="0.3">
      <c r="A82" s="2" t="s">
        <v>186</v>
      </c>
      <c r="B82" s="3">
        <v>46007</v>
      </c>
      <c r="C82" s="4">
        <f t="shared" si="1"/>
        <v>45992</v>
      </c>
      <c r="D82" s="5" t="s">
        <v>30</v>
      </c>
      <c r="E82" s="5" t="s">
        <v>31</v>
      </c>
      <c r="F82" s="5" t="s">
        <v>32</v>
      </c>
      <c r="G82" s="5" t="s">
        <v>58</v>
      </c>
      <c r="H82" s="2" t="s">
        <v>14</v>
      </c>
      <c r="I82" s="6">
        <v>2280</v>
      </c>
    </row>
    <row r="83" spans="1:9" x14ac:dyDescent="0.3">
      <c r="A83" s="7" t="s">
        <v>187</v>
      </c>
      <c r="B83" s="8">
        <v>46007</v>
      </c>
      <c r="C83" s="9">
        <f t="shared" si="1"/>
        <v>45992</v>
      </c>
      <c r="D83" s="10" t="s">
        <v>10</v>
      </c>
      <c r="E83" s="10" t="s">
        <v>34</v>
      </c>
      <c r="F83" s="10" t="s">
        <v>165</v>
      </c>
      <c r="G83" s="10" t="s">
        <v>42</v>
      </c>
      <c r="H83" s="7" t="s">
        <v>14</v>
      </c>
      <c r="I83" s="11">
        <v>1171</v>
      </c>
    </row>
    <row r="84" spans="1:9" x14ac:dyDescent="0.3">
      <c r="A84" s="2" t="s">
        <v>188</v>
      </c>
      <c r="B84" s="3">
        <v>46010</v>
      </c>
      <c r="C84" s="4">
        <f t="shared" si="1"/>
        <v>45992</v>
      </c>
      <c r="D84" s="5" t="s">
        <v>26</v>
      </c>
      <c r="E84" s="5" t="s">
        <v>38</v>
      </c>
      <c r="F84" s="5" t="s">
        <v>151</v>
      </c>
      <c r="G84" s="5" t="s">
        <v>19</v>
      </c>
      <c r="H84" s="2" t="s">
        <v>14</v>
      </c>
      <c r="I84" s="6">
        <v>1773</v>
      </c>
    </row>
    <row r="85" spans="1:9" x14ac:dyDescent="0.3">
      <c r="A85" s="7" t="s">
        <v>189</v>
      </c>
      <c r="B85" s="8">
        <v>46012</v>
      </c>
      <c r="C85" s="9">
        <f t="shared" si="1"/>
        <v>45992</v>
      </c>
      <c r="D85" s="10" t="s">
        <v>76</v>
      </c>
      <c r="E85" s="10" t="s">
        <v>97</v>
      </c>
      <c r="F85" s="10" t="s">
        <v>190</v>
      </c>
      <c r="G85" s="10" t="s">
        <v>58</v>
      </c>
      <c r="H85" s="7" t="s">
        <v>20</v>
      </c>
      <c r="I85" s="11">
        <v>252</v>
      </c>
    </row>
    <row r="86" spans="1:9" x14ac:dyDescent="0.3">
      <c r="A86" s="2" t="s">
        <v>191</v>
      </c>
      <c r="B86" s="3">
        <v>46014</v>
      </c>
      <c r="C86" s="4">
        <f t="shared" si="1"/>
        <v>45992</v>
      </c>
      <c r="D86" s="5" t="s">
        <v>26</v>
      </c>
      <c r="E86" s="5" t="s">
        <v>67</v>
      </c>
      <c r="F86" s="5" t="s">
        <v>192</v>
      </c>
      <c r="G86" s="5" t="s">
        <v>19</v>
      </c>
      <c r="H86" s="2" t="s">
        <v>20</v>
      </c>
      <c r="I86" s="6">
        <v>447</v>
      </c>
    </row>
    <row r="87" spans="1:9" x14ac:dyDescent="0.3">
      <c r="A87" s="7" t="s">
        <v>193</v>
      </c>
      <c r="B87" s="8">
        <v>46014</v>
      </c>
      <c r="C87" s="9">
        <f t="shared" si="1"/>
        <v>45992</v>
      </c>
      <c r="D87" s="10" t="s">
        <v>26</v>
      </c>
      <c r="E87" s="10" t="s">
        <v>67</v>
      </c>
      <c r="F87" s="10" t="s">
        <v>68</v>
      </c>
      <c r="G87" s="10" t="s">
        <v>36</v>
      </c>
      <c r="H87" s="7" t="s">
        <v>20</v>
      </c>
      <c r="I87" s="11">
        <v>225</v>
      </c>
    </row>
    <row r="88" spans="1:9" x14ac:dyDescent="0.3">
      <c r="A88" s="2" t="s">
        <v>194</v>
      </c>
      <c r="B88" s="3">
        <v>46015</v>
      </c>
      <c r="C88" s="4">
        <f t="shared" si="1"/>
        <v>45992</v>
      </c>
      <c r="D88" s="5" t="s">
        <v>51</v>
      </c>
      <c r="E88" s="5" t="s">
        <v>52</v>
      </c>
      <c r="F88" s="5" t="s">
        <v>195</v>
      </c>
      <c r="G88" s="5" t="s">
        <v>36</v>
      </c>
      <c r="H88" s="2" t="s">
        <v>14</v>
      </c>
      <c r="I88" s="6">
        <v>702</v>
      </c>
    </row>
    <row r="89" spans="1:9" x14ac:dyDescent="0.3">
      <c r="A89" s="7" t="s">
        <v>196</v>
      </c>
      <c r="B89" s="8">
        <v>46015</v>
      </c>
      <c r="C89" s="9">
        <f t="shared" si="1"/>
        <v>45992</v>
      </c>
      <c r="D89" s="10" t="s">
        <v>22</v>
      </c>
      <c r="E89" s="10" t="s">
        <v>70</v>
      </c>
      <c r="F89" s="10" t="s">
        <v>197</v>
      </c>
      <c r="G89" s="10" t="s">
        <v>36</v>
      </c>
      <c r="H89" s="7" t="s">
        <v>20</v>
      </c>
      <c r="I89" s="11">
        <v>2857</v>
      </c>
    </row>
    <row r="90" spans="1:9" x14ac:dyDescent="0.3">
      <c r="A90" s="2" t="s">
        <v>198</v>
      </c>
      <c r="B90" s="3">
        <v>46017</v>
      </c>
      <c r="C90" s="4">
        <f t="shared" si="1"/>
        <v>45992</v>
      </c>
      <c r="D90" s="5" t="s">
        <v>26</v>
      </c>
      <c r="E90" s="5" t="s">
        <v>38</v>
      </c>
      <c r="F90" s="5" t="s">
        <v>60</v>
      </c>
      <c r="G90" s="5" t="s">
        <v>36</v>
      </c>
      <c r="H90" s="2" t="s">
        <v>14</v>
      </c>
      <c r="I90" s="6">
        <v>657</v>
      </c>
    </row>
    <row r="91" spans="1:9" x14ac:dyDescent="0.3">
      <c r="A91" s="7" t="s">
        <v>199</v>
      </c>
      <c r="B91" s="8">
        <v>46018</v>
      </c>
      <c r="C91" s="9">
        <f t="shared" si="1"/>
        <v>45992</v>
      </c>
      <c r="D91" s="10" t="s">
        <v>30</v>
      </c>
      <c r="E91" s="10" t="s">
        <v>106</v>
      </c>
      <c r="F91" s="10" t="s">
        <v>107</v>
      </c>
      <c r="G91" s="10" t="s">
        <v>19</v>
      </c>
      <c r="H91" s="7" t="s">
        <v>14</v>
      </c>
      <c r="I91" s="11">
        <v>343</v>
      </c>
    </row>
    <row r="92" spans="1:9" x14ac:dyDescent="0.3">
      <c r="A92" s="2" t="s">
        <v>200</v>
      </c>
      <c r="B92" s="3">
        <v>46018</v>
      </c>
      <c r="C92" s="4">
        <f t="shared" si="1"/>
        <v>45992</v>
      </c>
      <c r="D92" s="5" t="s">
        <v>10</v>
      </c>
      <c r="E92" s="5" t="s">
        <v>34</v>
      </c>
      <c r="F92" s="5" t="s">
        <v>35</v>
      </c>
      <c r="G92" s="5" t="s">
        <v>58</v>
      </c>
      <c r="H92" s="2" t="s">
        <v>14</v>
      </c>
      <c r="I92" s="6">
        <v>885</v>
      </c>
    </row>
    <row r="93" spans="1:9" x14ac:dyDescent="0.3">
      <c r="A93" s="7" t="s">
        <v>201</v>
      </c>
      <c r="B93" s="8">
        <v>46018</v>
      </c>
      <c r="C93" s="9">
        <f t="shared" si="1"/>
        <v>45992</v>
      </c>
      <c r="D93" s="10" t="s">
        <v>22</v>
      </c>
      <c r="E93" s="10" t="s">
        <v>70</v>
      </c>
      <c r="F93" s="10" t="s">
        <v>178</v>
      </c>
      <c r="G93" s="10" t="s">
        <v>19</v>
      </c>
      <c r="H93" s="7" t="s">
        <v>20</v>
      </c>
      <c r="I93" s="11">
        <v>2497</v>
      </c>
    </row>
    <row r="94" spans="1:9" x14ac:dyDescent="0.3">
      <c r="A94" s="2" t="s">
        <v>202</v>
      </c>
      <c r="B94" s="3">
        <v>46020</v>
      </c>
      <c r="C94" s="4">
        <f t="shared" si="1"/>
        <v>45992</v>
      </c>
      <c r="D94" s="5" t="s">
        <v>16</v>
      </c>
      <c r="E94" s="5" t="s">
        <v>44</v>
      </c>
      <c r="F94" s="5" t="s">
        <v>203</v>
      </c>
      <c r="G94" s="5" t="s">
        <v>19</v>
      </c>
      <c r="H94" s="2" t="s">
        <v>20</v>
      </c>
      <c r="I94" s="6">
        <v>1017</v>
      </c>
    </row>
    <row r="95" spans="1:9" x14ac:dyDescent="0.3">
      <c r="A95" s="7" t="s">
        <v>204</v>
      </c>
      <c r="B95" s="8">
        <v>46022</v>
      </c>
      <c r="C95" s="9">
        <f t="shared" si="1"/>
        <v>45992</v>
      </c>
      <c r="D95" s="10" t="s">
        <v>51</v>
      </c>
      <c r="E95" s="10" t="s">
        <v>205</v>
      </c>
      <c r="F95" s="10" t="s">
        <v>206</v>
      </c>
      <c r="G95" s="10" t="s">
        <v>58</v>
      </c>
      <c r="H95" s="7" t="s">
        <v>20</v>
      </c>
      <c r="I95" s="11">
        <v>469</v>
      </c>
    </row>
    <row r="96" spans="1:9" x14ac:dyDescent="0.3">
      <c r="A96" s="2" t="s">
        <v>207</v>
      </c>
      <c r="B96" s="3">
        <v>46022</v>
      </c>
      <c r="C96" s="4">
        <f t="shared" si="1"/>
        <v>45992</v>
      </c>
      <c r="D96" s="5" t="s">
        <v>26</v>
      </c>
      <c r="E96" s="5" t="s">
        <v>67</v>
      </c>
      <c r="F96" s="5" t="s">
        <v>208</v>
      </c>
      <c r="G96" s="5" t="s">
        <v>19</v>
      </c>
      <c r="H96" s="2" t="s">
        <v>20</v>
      </c>
      <c r="I96" s="6">
        <v>668</v>
      </c>
    </row>
    <row r="97" spans="1:9" x14ac:dyDescent="0.3">
      <c r="A97" s="7" t="s">
        <v>209</v>
      </c>
      <c r="B97" s="8">
        <v>46022</v>
      </c>
      <c r="C97" s="9">
        <f t="shared" si="1"/>
        <v>45992</v>
      </c>
      <c r="D97" s="10" t="s">
        <v>47</v>
      </c>
      <c r="E97" s="10" t="s">
        <v>48</v>
      </c>
      <c r="F97" s="10" t="s">
        <v>49</v>
      </c>
      <c r="G97" s="10" t="s">
        <v>19</v>
      </c>
      <c r="H97" s="7" t="s">
        <v>14</v>
      </c>
      <c r="I97" s="11">
        <v>856</v>
      </c>
    </row>
    <row r="98" spans="1:9" x14ac:dyDescent="0.3">
      <c r="A98" s="2" t="s">
        <v>210</v>
      </c>
      <c r="B98" s="3">
        <v>46023</v>
      </c>
      <c r="C98" s="4">
        <f t="shared" si="1"/>
        <v>46023</v>
      </c>
      <c r="D98" s="5" t="s">
        <v>30</v>
      </c>
      <c r="E98" s="5" t="s">
        <v>106</v>
      </c>
      <c r="F98" s="5" t="s">
        <v>211</v>
      </c>
      <c r="G98" s="5" t="s">
        <v>36</v>
      </c>
      <c r="H98" s="2" t="s">
        <v>14</v>
      </c>
      <c r="I98" s="6">
        <v>980</v>
      </c>
    </row>
    <row r="99" spans="1:9" x14ac:dyDescent="0.3">
      <c r="A99" s="7" t="s">
        <v>212</v>
      </c>
      <c r="B99" s="8">
        <v>46024</v>
      </c>
      <c r="C99" s="9">
        <f t="shared" si="1"/>
        <v>46023</v>
      </c>
      <c r="D99" s="10" t="s">
        <v>30</v>
      </c>
      <c r="E99" s="10" t="s">
        <v>127</v>
      </c>
      <c r="F99" s="10" t="s">
        <v>128</v>
      </c>
      <c r="G99" s="10" t="s">
        <v>13</v>
      </c>
      <c r="H99" s="7" t="s">
        <v>20</v>
      </c>
      <c r="I99" s="11">
        <v>953</v>
      </c>
    </row>
    <row r="100" spans="1:9" x14ac:dyDescent="0.3">
      <c r="A100" s="2" t="s">
        <v>213</v>
      </c>
      <c r="B100" s="3">
        <v>46026</v>
      </c>
      <c r="C100" s="4">
        <f t="shared" si="1"/>
        <v>46023</v>
      </c>
      <c r="D100" s="5" t="s">
        <v>76</v>
      </c>
      <c r="E100" s="5" t="s">
        <v>97</v>
      </c>
      <c r="F100" s="5" t="s">
        <v>98</v>
      </c>
      <c r="G100" s="5" t="s">
        <v>19</v>
      </c>
      <c r="H100" s="2" t="s">
        <v>20</v>
      </c>
      <c r="I100" s="6">
        <v>519</v>
      </c>
    </row>
    <row r="101" spans="1:9" x14ac:dyDescent="0.3">
      <c r="A101" s="7" t="s">
        <v>214</v>
      </c>
      <c r="B101" s="8">
        <v>46026</v>
      </c>
      <c r="C101" s="9">
        <f t="shared" si="1"/>
        <v>46023</v>
      </c>
      <c r="D101" s="10" t="s">
        <v>76</v>
      </c>
      <c r="E101" s="10" t="s">
        <v>97</v>
      </c>
      <c r="F101" s="10" t="s">
        <v>190</v>
      </c>
      <c r="G101" s="10" t="s">
        <v>19</v>
      </c>
      <c r="H101" s="7" t="s">
        <v>20</v>
      </c>
      <c r="I101" s="11">
        <v>184</v>
      </c>
    </row>
    <row r="102" spans="1:9" x14ac:dyDescent="0.3">
      <c r="A102" s="2" t="s">
        <v>215</v>
      </c>
      <c r="B102" s="3">
        <v>46027</v>
      </c>
      <c r="C102" s="4">
        <f t="shared" si="1"/>
        <v>46023</v>
      </c>
      <c r="D102" s="5" t="s">
        <v>76</v>
      </c>
      <c r="E102" s="5" t="s">
        <v>103</v>
      </c>
      <c r="F102" s="5" t="s">
        <v>104</v>
      </c>
      <c r="G102" s="5" t="s">
        <v>13</v>
      </c>
      <c r="H102" s="2" t="s">
        <v>20</v>
      </c>
      <c r="I102" s="6">
        <v>354</v>
      </c>
    </row>
    <row r="103" spans="1:9" x14ac:dyDescent="0.3">
      <c r="A103" s="7" t="s">
        <v>216</v>
      </c>
      <c r="B103" s="8">
        <v>46027</v>
      </c>
      <c r="C103" s="9">
        <f t="shared" si="1"/>
        <v>46023</v>
      </c>
      <c r="D103" s="10" t="s">
        <v>10</v>
      </c>
      <c r="E103" s="10" t="s">
        <v>11</v>
      </c>
      <c r="F103" s="10" t="s">
        <v>12</v>
      </c>
      <c r="G103" s="10" t="s">
        <v>13</v>
      </c>
      <c r="H103" s="7" t="s">
        <v>14</v>
      </c>
      <c r="I103" s="11">
        <v>8500</v>
      </c>
    </row>
    <row r="104" spans="1:9" x14ac:dyDescent="0.3">
      <c r="A104" s="2" t="s">
        <v>217</v>
      </c>
      <c r="B104" s="3">
        <v>46028</v>
      </c>
      <c r="C104" s="4">
        <f t="shared" si="1"/>
        <v>46023</v>
      </c>
      <c r="D104" s="5" t="s">
        <v>76</v>
      </c>
      <c r="E104" s="5" t="s">
        <v>97</v>
      </c>
      <c r="F104" s="5" t="s">
        <v>113</v>
      </c>
      <c r="G104" s="5" t="s">
        <v>19</v>
      </c>
      <c r="H104" s="2" t="s">
        <v>20</v>
      </c>
      <c r="I104" s="6">
        <v>367</v>
      </c>
    </row>
    <row r="105" spans="1:9" x14ac:dyDescent="0.3">
      <c r="A105" s="7" t="s">
        <v>218</v>
      </c>
      <c r="B105" s="8">
        <v>46028</v>
      </c>
      <c r="C105" s="9">
        <f t="shared" si="1"/>
        <v>46023</v>
      </c>
      <c r="D105" s="10" t="s">
        <v>26</v>
      </c>
      <c r="E105" s="10" t="s">
        <v>38</v>
      </c>
      <c r="F105" s="10" t="s">
        <v>55</v>
      </c>
      <c r="G105" s="10" t="s">
        <v>42</v>
      </c>
      <c r="H105" s="7" t="s">
        <v>14</v>
      </c>
      <c r="I105" s="11">
        <v>1531</v>
      </c>
    </row>
    <row r="106" spans="1:9" x14ac:dyDescent="0.3">
      <c r="A106" s="2" t="s">
        <v>219</v>
      </c>
      <c r="B106" s="3">
        <v>46028</v>
      </c>
      <c r="C106" s="4">
        <f t="shared" si="1"/>
        <v>46023</v>
      </c>
      <c r="D106" s="5" t="s">
        <v>22</v>
      </c>
      <c r="E106" s="5" t="s">
        <v>73</v>
      </c>
      <c r="F106" s="5" t="s">
        <v>74</v>
      </c>
      <c r="G106" s="5" t="s">
        <v>42</v>
      </c>
      <c r="H106" s="2" t="s">
        <v>14</v>
      </c>
      <c r="I106" s="6">
        <v>447</v>
      </c>
    </row>
    <row r="107" spans="1:9" x14ac:dyDescent="0.3">
      <c r="A107" s="7" t="s">
        <v>220</v>
      </c>
      <c r="B107" s="8">
        <v>46028</v>
      </c>
      <c r="C107" s="9">
        <f t="shared" si="1"/>
        <v>46023</v>
      </c>
      <c r="D107" s="10" t="s">
        <v>22</v>
      </c>
      <c r="E107" s="10" t="s">
        <v>23</v>
      </c>
      <c r="F107" s="10" t="s">
        <v>41</v>
      </c>
      <c r="G107" s="10" t="s">
        <v>42</v>
      </c>
      <c r="H107" s="7" t="s">
        <v>14</v>
      </c>
      <c r="I107" s="11">
        <v>399</v>
      </c>
    </row>
    <row r="108" spans="1:9" x14ac:dyDescent="0.3">
      <c r="A108" s="2" t="s">
        <v>221</v>
      </c>
      <c r="B108" s="3">
        <v>46030</v>
      </c>
      <c r="C108" s="4">
        <f t="shared" si="1"/>
        <v>46023</v>
      </c>
      <c r="D108" s="5" t="s">
        <v>26</v>
      </c>
      <c r="E108" s="5" t="s">
        <v>38</v>
      </c>
      <c r="F108" s="5" t="s">
        <v>39</v>
      </c>
      <c r="G108" s="5" t="s">
        <v>58</v>
      </c>
      <c r="H108" s="2" t="s">
        <v>14</v>
      </c>
      <c r="I108" s="6">
        <v>1426</v>
      </c>
    </row>
    <row r="109" spans="1:9" x14ac:dyDescent="0.3">
      <c r="A109" s="7" t="s">
        <v>222</v>
      </c>
      <c r="B109" s="8">
        <v>46031</v>
      </c>
      <c r="C109" s="9">
        <f t="shared" si="1"/>
        <v>46023</v>
      </c>
      <c r="D109" s="10" t="s">
        <v>76</v>
      </c>
      <c r="E109" s="10" t="s">
        <v>223</v>
      </c>
      <c r="F109" s="10" t="s">
        <v>224</v>
      </c>
      <c r="G109" s="10" t="s">
        <v>19</v>
      </c>
      <c r="H109" s="7" t="s">
        <v>20</v>
      </c>
      <c r="I109" s="11">
        <v>1169</v>
      </c>
    </row>
    <row r="110" spans="1:9" x14ac:dyDescent="0.3">
      <c r="A110" s="2" t="s">
        <v>225</v>
      </c>
      <c r="B110" s="3">
        <v>46031</v>
      </c>
      <c r="C110" s="4">
        <f t="shared" si="1"/>
        <v>46023</v>
      </c>
      <c r="D110" s="5" t="s">
        <v>10</v>
      </c>
      <c r="E110" s="5" t="s">
        <v>87</v>
      </c>
      <c r="F110" s="5" t="s">
        <v>88</v>
      </c>
      <c r="G110" s="5" t="s">
        <v>58</v>
      </c>
      <c r="H110" s="2" t="s">
        <v>14</v>
      </c>
      <c r="I110" s="6">
        <v>667</v>
      </c>
    </row>
    <row r="111" spans="1:9" x14ac:dyDescent="0.3">
      <c r="A111" s="7" t="s">
        <v>226</v>
      </c>
      <c r="B111" s="8">
        <v>46032</v>
      </c>
      <c r="C111" s="9">
        <f t="shared" si="1"/>
        <v>46023</v>
      </c>
      <c r="D111" s="10" t="s">
        <v>47</v>
      </c>
      <c r="E111" s="10" t="s">
        <v>130</v>
      </c>
      <c r="F111" s="10" t="s">
        <v>227</v>
      </c>
      <c r="G111" s="10" t="s">
        <v>19</v>
      </c>
      <c r="H111" s="7" t="s">
        <v>14</v>
      </c>
      <c r="I111" s="11">
        <v>1576</v>
      </c>
    </row>
    <row r="112" spans="1:9" x14ac:dyDescent="0.3">
      <c r="A112" s="2" t="s">
        <v>228</v>
      </c>
      <c r="B112" s="3">
        <v>46033</v>
      </c>
      <c r="C112" s="4">
        <f t="shared" si="1"/>
        <v>46023</v>
      </c>
      <c r="D112" s="5" t="s">
        <v>22</v>
      </c>
      <c r="E112" s="5" t="s">
        <v>23</v>
      </c>
      <c r="F112" s="5" t="s">
        <v>24</v>
      </c>
      <c r="G112" s="5" t="s">
        <v>19</v>
      </c>
      <c r="H112" s="2" t="s">
        <v>14</v>
      </c>
      <c r="I112" s="6">
        <v>64</v>
      </c>
    </row>
    <row r="113" spans="1:9" x14ac:dyDescent="0.3">
      <c r="A113" s="7" t="s">
        <v>229</v>
      </c>
      <c r="B113" s="8">
        <v>46034</v>
      </c>
      <c r="C113" s="9">
        <f t="shared" si="1"/>
        <v>46023</v>
      </c>
      <c r="D113" s="10" t="s">
        <v>47</v>
      </c>
      <c r="E113" s="10" t="s">
        <v>174</v>
      </c>
      <c r="F113" s="10" t="s">
        <v>175</v>
      </c>
      <c r="G113" s="10" t="s">
        <v>36</v>
      </c>
      <c r="H113" s="7" t="s">
        <v>14</v>
      </c>
      <c r="I113" s="11">
        <v>1111</v>
      </c>
    </row>
    <row r="114" spans="1:9" x14ac:dyDescent="0.3">
      <c r="A114" s="2" t="s">
        <v>230</v>
      </c>
      <c r="B114" s="3">
        <v>46039</v>
      </c>
      <c r="C114" s="4">
        <f t="shared" si="1"/>
        <v>46023</v>
      </c>
      <c r="D114" s="5" t="s">
        <v>47</v>
      </c>
      <c r="E114" s="5" t="s">
        <v>130</v>
      </c>
      <c r="F114" s="5" t="s">
        <v>227</v>
      </c>
      <c r="G114" s="5" t="s">
        <v>58</v>
      </c>
      <c r="H114" s="2" t="s">
        <v>14</v>
      </c>
      <c r="I114" s="6">
        <v>2006</v>
      </c>
    </row>
    <row r="115" spans="1:9" x14ac:dyDescent="0.3">
      <c r="A115" s="7" t="s">
        <v>231</v>
      </c>
      <c r="B115" s="8">
        <v>46041</v>
      </c>
      <c r="C115" s="9">
        <f t="shared" si="1"/>
        <v>46023</v>
      </c>
      <c r="D115" s="10" t="s">
        <v>51</v>
      </c>
      <c r="E115" s="10" t="s">
        <v>180</v>
      </c>
      <c r="F115" s="10" t="s">
        <v>232</v>
      </c>
      <c r="G115" s="10" t="s">
        <v>19</v>
      </c>
      <c r="H115" s="7" t="s">
        <v>14</v>
      </c>
      <c r="I115" s="11">
        <v>910</v>
      </c>
    </row>
    <row r="116" spans="1:9" x14ac:dyDescent="0.3">
      <c r="A116" s="2" t="s">
        <v>233</v>
      </c>
      <c r="B116" s="3">
        <v>46041</v>
      </c>
      <c r="C116" s="4">
        <f t="shared" si="1"/>
        <v>46023</v>
      </c>
      <c r="D116" s="5" t="s">
        <v>26</v>
      </c>
      <c r="E116" s="5" t="s">
        <v>27</v>
      </c>
      <c r="F116" s="5" t="s">
        <v>28</v>
      </c>
      <c r="G116" s="5" t="s">
        <v>36</v>
      </c>
      <c r="H116" s="2" t="s">
        <v>20</v>
      </c>
      <c r="I116" s="6">
        <v>391</v>
      </c>
    </row>
    <row r="117" spans="1:9" x14ac:dyDescent="0.3">
      <c r="A117" s="7" t="s">
        <v>234</v>
      </c>
      <c r="B117" s="8">
        <v>46041</v>
      </c>
      <c r="C117" s="9">
        <f t="shared" si="1"/>
        <v>46023</v>
      </c>
      <c r="D117" s="10" t="s">
        <v>26</v>
      </c>
      <c r="E117" s="10" t="s">
        <v>67</v>
      </c>
      <c r="F117" s="10" t="s">
        <v>208</v>
      </c>
      <c r="G117" s="10" t="s">
        <v>42</v>
      </c>
      <c r="H117" s="7" t="s">
        <v>20</v>
      </c>
      <c r="I117" s="11">
        <v>609</v>
      </c>
    </row>
    <row r="118" spans="1:9" x14ac:dyDescent="0.3">
      <c r="A118" s="2" t="s">
        <v>235</v>
      </c>
      <c r="B118" s="3">
        <v>46041</v>
      </c>
      <c r="C118" s="4">
        <f t="shared" si="1"/>
        <v>46023</v>
      </c>
      <c r="D118" s="5" t="s">
        <v>26</v>
      </c>
      <c r="E118" s="5" t="s">
        <v>38</v>
      </c>
      <c r="F118" s="5" t="s">
        <v>151</v>
      </c>
      <c r="G118" s="5" t="s">
        <v>19</v>
      </c>
      <c r="H118" s="2" t="s">
        <v>14</v>
      </c>
      <c r="I118" s="6">
        <v>1486</v>
      </c>
    </row>
    <row r="119" spans="1:9" x14ac:dyDescent="0.3">
      <c r="A119" s="7" t="s">
        <v>236</v>
      </c>
      <c r="B119" s="8">
        <v>46042</v>
      </c>
      <c r="C119" s="9">
        <f t="shared" si="1"/>
        <v>46023</v>
      </c>
      <c r="D119" s="10" t="s">
        <v>76</v>
      </c>
      <c r="E119" s="10" t="s">
        <v>103</v>
      </c>
      <c r="F119" s="10" t="s">
        <v>104</v>
      </c>
      <c r="G119" s="10" t="s">
        <v>19</v>
      </c>
      <c r="H119" s="7" t="s">
        <v>20</v>
      </c>
      <c r="I119" s="11">
        <v>549</v>
      </c>
    </row>
    <row r="120" spans="1:9" x14ac:dyDescent="0.3">
      <c r="A120" s="2" t="s">
        <v>237</v>
      </c>
      <c r="B120" s="3">
        <v>46043</v>
      </c>
      <c r="C120" s="4">
        <f t="shared" si="1"/>
        <v>46023</v>
      </c>
      <c r="D120" s="5" t="s">
        <v>26</v>
      </c>
      <c r="E120" s="5" t="s">
        <v>80</v>
      </c>
      <c r="F120" s="5" t="s">
        <v>93</v>
      </c>
      <c r="G120" s="5" t="s">
        <v>19</v>
      </c>
      <c r="H120" s="2" t="s">
        <v>20</v>
      </c>
      <c r="I120" s="6">
        <v>791</v>
      </c>
    </row>
    <row r="121" spans="1:9" x14ac:dyDescent="0.3">
      <c r="A121" s="7" t="s">
        <v>238</v>
      </c>
      <c r="B121" s="8">
        <v>46043</v>
      </c>
      <c r="C121" s="9">
        <f t="shared" si="1"/>
        <v>46023</v>
      </c>
      <c r="D121" s="10" t="s">
        <v>26</v>
      </c>
      <c r="E121" s="10" t="s">
        <v>27</v>
      </c>
      <c r="F121" s="10" t="s">
        <v>28</v>
      </c>
      <c r="G121" s="10" t="s">
        <v>19</v>
      </c>
      <c r="H121" s="7" t="s">
        <v>20</v>
      </c>
      <c r="I121" s="11">
        <v>163</v>
      </c>
    </row>
    <row r="122" spans="1:9" x14ac:dyDescent="0.3">
      <c r="A122" s="2" t="s">
        <v>239</v>
      </c>
      <c r="B122" s="3">
        <v>46048</v>
      </c>
      <c r="C122" s="4">
        <f t="shared" si="1"/>
        <v>46023</v>
      </c>
      <c r="D122" s="5" t="s">
        <v>16</v>
      </c>
      <c r="E122" s="5" t="s">
        <v>138</v>
      </c>
      <c r="F122" s="5" t="s">
        <v>139</v>
      </c>
      <c r="G122" s="5" t="s">
        <v>19</v>
      </c>
      <c r="H122" s="2" t="s">
        <v>20</v>
      </c>
      <c r="I122" s="6">
        <v>5361</v>
      </c>
    </row>
    <row r="123" spans="1:9" x14ac:dyDescent="0.3">
      <c r="A123" s="7" t="s">
        <v>240</v>
      </c>
      <c r="B123" s="8">
        <v>46049</v>
      </c>
      <c r="C123" s="9">
        <f t="shared" si="1"/>
        <v>46023</v>
      </c>
      <c r="D123" s="10" t="s">
        <v>26</v>
      </c>
      <c r="E123" s="10" t="s">
        <v>27</v>
      </c>
      <c r="F123" s="10" t="s">
        <v>241</v>
      </c>
      <c r="G123" s="10" t="s">
        <v>58</v>
      </c>
      <c r="H123" s="7" t="s">
        <v>20</v>
      </c>
      <c r="I123" s="11">
        <v>382</v>
      </c>
    </row>
    <row r="124" spans="1:9" x14ac:dyDescent="0.3">
      <c r="A124" s="2" t="s">
        <v>242</v>
      </c>
      <c r="B124" s="3">
        <v>46050</v>
      </c>
      <c r="C124" s="4">
        <f t="shared" si="1"/>
        <v>46023</v>
      </c>
      <c r="D124" s="5" t="s">
        <v>51</v>
      </c>
      <c r="E124" s="5" t="s">
        <v>180</v>
      </c>
      <c r="F124" s="5" t="s">
        <v>181</v>
      </c>
      <c r="G124" s="5" t="s">
        <v>19</v>
      </c>
      <c r="H124" s="2" t="s">
        <v>14</v>
      </c>
      <c r="I124" s="6">
        <v>2979</v>
      </c>
    </row>
    <row r="125" spans="1:9" x14ac:dyDescent="0.3">
      <c r="A125" s="7" t="s">
        <v>243</v>
      </c>
      <c r="B125" s="8">
        <v>46050</v>
      </c>
      <c r="C125" s="9">
        <f t="shared" si="1"/>
        <v>46023</v>
      </c>
      <c r="D125" s="10" t="s">
        <v>26</v>
      </c>
      <c r="E125" s="10" t="s">
        <v>27</v>
      </c>
      <c r="F125" s="10" t="s">
        <v>241</v>
      </c>
      <c r="G125" s="10" t="s">
        <v>42</v>
      </c>
      <c r="H125" s="7" t="s">
        <v>20</v>
      </c>
      <c r="I125" s="11">
        <v>204</v>
      </c>
    </row>
    <row r="126" spans="1:9" x14ac:dyDescent="0.3">
      <c r="A126" s="2" t="s">
        <v>244</v>
      </c>
      <c r="B126" s="3">
        <v>46052</v>
      </c>
      <c r="C126" s="4">
        <f t="shared" si="1"/>
        <v>46023</v>
      </c>
      <c r="D126" s="5" t="s">
        <v>30</v>
      </c>
      <c r="E126" s="5" t="s">
        <v>31</v>
      </c>
      <c r="F126" s="5" t="s">
        <v>32</v>
      </c>
      <c r="G126" s="5" t="s">
        <v>19</v>
      </c>
      <c r="H126" s="2" t="s">
        <v>14</v>
      </c>
      <c r="I126" s="6">
        <v>1354</v>
      </c>
    </row>
    <row r="127" spans="1:9" x14ac:dyDescent="0.3">
      <c r="A127" s="7" t="s">
        <v>245</v>
      </c>
      <c r="B127" s="8">
        <v>46053</v>
      </c>
      <c r="C127" s="9">
        <f t="shared" si="1"/>
        <v>46023</v>
      </c>
      <c r="D127" s="10" t="s">
        <v>26</v>
      </c>
      <c r="E127" s="10" t="s">
        <v>67</v>
      </c>
      <c r="F127" s="10" t="s">
        <v>208</v>
      </c>
      <c r="G127" s="10" t="s">
        <v>58</v>
      </c>
      <c r="H127" s="7" t="s">
        <v>20</v>
      </c>
      <c r="I127" s="11">
        <v>688</v>
      </c>
    </row>
    <row r="128" spans="1:9" x14ac:dyDescent="0.3">
      <c r="A128" s="2" t="s">
        <v>246</v>
      </c>
      <c r="B128" s="3">
        <v>46054</v>
      </c>
      <c r="C128" s="4">
        <f t="shared" si="1"/>
        <v>46054</v>
      </c>
      <c r="D128" s="5" t="s">
        <v>10</v>
      </c>
      <c r="E128" s="5" t="s">
        <v>11</v>
      </c>
      <c r="F128" s="5" t="s">
        <v>12</v>
      </c>
      <c r="G128" s="5" t="s">
        <v>13</v>
      </c>
      <c r="H128" s="2" t="s">
        <v>14</v>
      </c>
      <c r="I128" s="6">
        <v>8500</v>
      </c>
    </row>
    <row r="129" spans="1:9" x14ac:dyDescent="0.3">
      <c r="A129" s="7" t="s">
        <v>247</v>
      </c>
      <c r="B129" s="8">
        <v>46054</v>
      </c>
      <c r="C129" s="9">
        <f t="shared" si="1"/>
        <v>46054</v>
      </c>
      <c r="D129" s="10" t="s">
        <v>16</v>
      </c>
      <c r="E129" s="10" t="s">
        <v>64</v>
      </c>
      <c r="F129" s="10" t="s">
        <v>157</v>
      </c>
      <c r="G129" s="10" t="s">
        <v>19</v>
      </c>
      <c r="H129" s="7" t="s">
        <v>20</v>
      </c>
      <c r="I129" s="11">
        <v>1156</v>
      </c>
    </row>
    <row r="130" spans="1:9" x14ac:dyDescent="0.3">
      <c r="A130" s="2" t="s">
        <v>248</v>
      </c>
      <c r="B130" s="3">
        <v>46054</v>
      </c>
      <c r="C130" s="4">
        <f t="shared" ref="C130:C193" si="2">DATE(YEAR(B130),MONTH(B130),1)</f>
        <v>46054</v>
      </c>
      <c r="D130" s="5" t="s">
        <v>47</v>
      </c>
      <c r="E130" s="5" t="s">
        <v>249</v>
      </c>
      <c r="F130" s="5" t="s">
        <v>250</v>
      </c>
      <c r="G130" s="5" t="s">
        <v>19</v>
      </c>
      <c r="H130" s="2" t="s">
        <v>14</v>
      </c>
      <c r="I130" s="6">
        <v>249</v>
      </c>
    </row>
    <row r="131" spans="1:9" x14ac:dyDescent="0.3">
      <c r="A131" s="7" t="s">
        <v>251</v>
      </c>
      <c r="B131" s="8">
        <v>46055</v>
      </c>
      <c r="C131" s="9">
        <f t="shared" si="2"/>
        <v>46054</v>
      </c>
      <c r="D131" s="10" t="s">
        <v>26</v>
      </c>
      <c r="E131" s="10" t="s">
        <v>38</v>
      </c>
      <c r="F131" s="10" t="s">
        <v>151</v>
      </c>
      <c r="G131" s="10" t="s">
        <v>19</v>
      </c>
      <c r="H131" s="7" t="s">
        <v>14</v>
      </c>
      <c r="I131" s="11">
        <v>1223</v>
      </c>
    </row>
    <row r="132" spans="1:9" x14ac:dyDescent="0.3">
      <c r="A132" s="2" t="s">
        <v>252</v>
      </c>
      <c r="B132" s="3">
        <v>46056</v>
      </c>
      <c r="C132" s="4">
        <f t="shared" si="2"/>
        <v>46054</v>
      </c>
      <c r="D132" s="5" t="s">
        <v>26</v>
      </c>
      <c r="E132" s="5" t="s">
        <v>67</v>
      </c>
      <c r="F132" s="5" t="s">
        <v>142</v>
      </c>
      <c r="G132" s="5" t="s">
        <v>42</v>
      </c>
      <c r="H132" s="2" t="s">
        <v>20</v>
      </c>
      <c r="I132" s="6">
        <v>379</v>
      </c>
    </row>
    <row r="133" spans="1:9" x14ac:dyDescent="0.3">
      <c r="A133" s="7" t="s">
        <v>253</v>
      </c>
      <c r="B133" s="8">
        <v>46056</v>
      </c>
      <c r="C133" s="9">
        <f t="shared" si="2"/>
        <v>46054</v>
      </c>
      <c r="D133" s="10" t="s">
        <v>16</v>
      </c>
      <c r="E133" s="10" t="s">
        <v>138</v>
      </c>
      <c r="F133" s="10" t="s">
        <v>254</v>
      </c>
      <c r="G133" s="10" t="s">
        <v>13</v>
      </c>
      <c r="H133" s="7" t="s">
        <v>20</v>
      </c>
      <c r="I133" s="11">
        <v>1459</v>
      </c>
    </row>
    <row r="134" spans="1:9" x14ac:dyDescent="0.3">
      <c r="A134" s="2" t="s">
        <v>255</v>
      </c>
      <c r="B134" s="3">
        <v>46058</v>
      </c>
      <c r="C134" s="4">
        <f t="shared" si="2"/>
        <v>46054</v>
      </c>
      <c r="D134" s="5" t="s">
        <v>26</v>
      </c>
      <c r="E134" s="5" t="s">
        <v>80</v>
      </c>
      <c r="F134" s="5" t="s">
        <v>100</v>
      </c>
      <c r="G134" s="5" t="s">
        <v>36</v>
      </c>
      <c r="H134" s="2" t="s">
        <v>20</v>
      </c>
      <c r="I134" s="6">
        <v>253</v>
      </c>
    </row>
    <row r="135" spans="1:9" x14ac:dyDescent="0.3">
      <c r="A135" s="7" t="s">
        <v>256</v>
      </c>
      <c r="B135" s="8">
        <v>46061</v>
      </c>
      <c r="C135" s="9">
        <f t="shared" si="2"/>
        <v>46054</v>
      </c>
      <c r="D135" s="10" t="s">
        <v>22</v>
      </c>
      <c r="E135" s="10" t="s">
        <v>23</v>
      </c>
      <c r="F135" s="10" t="s">
        <v>160</v>
      </c>
      <c r="G135" s="10" t="s">
        <v>19</v>
      </c>
      <c r="H135" s="7" t="s">
        <v>14</v>
      </c>
      <c r="I135" s="11">
        <v>380</v>
      </c>
    </row>
    <row r="136" spans="1:9" x14ac:dyDescent="0.3">
      <c r="A136" s="2" t="s">
        <v>257</v>
      </c>
      <c r="B136" s="3">
        <v>46061</v>
      </c>
      <c r="C136" s="4">
        <f t="shared" si="2"/>
        <v>46054</v>
      </c>
      <c r="D136" s="5" t="s">
        <v>22</v>
      </c>
      <c r="E136" s="5" t="s">
        <v>122</v>
      </c>
      <c r="F136" s="5" t="s">
        <v>258</v>
      </c>
      <c r="G136" s="5" t="s">
        <v>19</v>
      </c>
      <c r="H136" s="2" t="s">
        <v>20</v>
      </c>
      <c r="I136" s="6">
        <v>269</v>
      </c>
    </row>
    <row r="137" spans="1:9" x14ac:dyDescent="0.3">
      <c r="A137" s="7" t="s">
        <v>259</v>
      </c>
      <c r="B137" s="8">
        <v>46061</v>
      </c>
      <c r="C137" s="9">
        <f t="shared" si="2"/>
        <v>46054</v>
      </c>
      <c r="D137" s="10" t="s">
        <v>22</v>
      </c>
      <c r="E137" s="10" t="s">
        <v>70</v>
      </c>
      <c r="F137" s="10" t="s">
        <v>260</v>
      </c>
      <c r="G137" s="10" t="s">
        <v>58</v>
      </c>
      <c r="H137" s="7" t="s">
        <v>20</v>
      </c>
      <c r="I137" s="11">
        <v>4701</v>
      </c>
    </row>
    <row r="138" spans="1:9" x14ac:dyDescent="0.3">
      <c r="A138" s="2" t="s">
        <v>261</v>
      </c>
      <c r="B138" s="3">
        <v>46062</v>
      </c>
      <c r="C138" s="4">
        <f t="shared" si="2"/>
        <v>46054</v>
      </c>
      <c r="D138" s="5" t="s">
        <v>26</v>
      </c>
      <c r="E138" s="5" t="s">
        <v>27</v>
      </c>
      <c r="F138" s="5" t="s">
        <v>91</v>
      </c>
      <c r="G138" s="5" t="s">
        <v>19</v>
      </c>
      <c r="H138" s="2" t="s">
        <v>20</v>
      </c>
      <c r="I138" s="6">
        <v>398</v>
      </c>
    </row>
    <row r="139" spans="1:9" x14ac:dyDescent="0.3">
      <c r="A139" s="7" t="s">
        <v>262</v>
      </c>
      <c r="B139" s="8">
        <v>46063</v>
      </c>
      <c r="C139" s="9">
        <f t="shared" si="2"/>
        <v>46054</v>
      </c>
      <c r="D139" s="10" t="s">
        <v>26</v>
      </c>
      <c r="E139" s="10" t="s">
        <v>67</v>
      </c>
      <c r="F139" s="10" t="s">
        <v>192</v>
      </c>
      <c r="G139" s="10" t="s">
        <v>58</v>
      </c>
      <c r="H139" s="7" t="s">
        <v>20</v>
      </c>
      <c r="I139" s="11">
        <v>386</v>
      </c>
    </row>
    <row r="140" spans="1:9" x14ac:dyDescent="0.3">
      <c r="A140" s="2" t="s">
        <v>263</v>
      </c>
      <c r="B140" s="3">
        <v>46065</v>
      </c>
      <c r="C140" s="4">
        <f t="shared" si="2"/>
        <v>46054</v>
      </c>
      <c r="D140" s="5" t="s">
        <v>22</v>
      </c>
      <c r="E140" s="5" t="s">
        <v>122</v>
      </c>
      <c r="F140" s="5" t="s">
        <v>123</v>
      </c>
      <c r="G140" s="5" t="s">
        <v>19</v>
      </c>
      <c r="H140" s="2" t="s">
        <v>20</v>
      </c>
      <c r="I140" s="6">
        <v>194</v>
      </c>
    </row>
    <row r="141" spans="1:9" x14ac:dyDescent="0.3">
      <c r="A141" s="7" t="s">
        <v>264</v>
      </c>
      <c r="B141" s="8">
        <v>46068</v>
      </c>
      <c r="C141" s="9">
        <f t="shared" si="2"/>
        <v>46054</v>
      </c>
      <c r="D141" s="10" t="s">
        <v>51</v>
      </c>
      <c r="E141" s="10" t="s">
        <v>180</v>
      </c>
      <c r="F141" s="10" t="s">
        <v>181</v>
      </c>
      <c r="G141" s="10" t="s">
        <v>36</v>
      </c>
      <c r="H141" s="7" t="s">
        <v>14</v>
      </c>
      <c r="I141" s="11">
        <v>1138</v>
      </c>
    </row>
    <row r="142" spans="1:9" x14ac:dyDescent="0.3">
      <c r="A142" s="2" t="s">
        <v>265</v>
      </c>
      <c r="B142" s="3">
        <v>46068</v>
      </c>
      <c r="C142" s="4">
        <f t="shared" si="2"/>
        <v>46054</v>
      </c>
      <c r="D142" s="5" t="s">
        <v>16</v>
      </c>
      <c r="E142" s="5" t="s">
        <v>17</v>
      </c>
      <c r="F142" s="5" t="s">
        <v>18</v>
      </c>
      <c r="G142" s="5" t="s">
        <v>19</v>
      </c>
      <c r="H142" s="2" t="s">
        <v>20</v>
      </c>
      <c r="I142" s="6">
        <v>2284</v>
      </c>
    </row>
    <row r="143" spans="1:9" x14ac:dyDescent="0.3">
      <c r="A143" s="7" t="s">
        <v>266</v>
      </c>
      <c r="B143" s="8">
        <v>46069</v>
      </c>
      <c r="C143" s="9">
        <f t="shared" si="2"/>
        <v>46054</v>
      </c>
      <c r="D143" s="10" t="s">
        <v>10</v>
      </c>
      <c r="E143" s="10" t="s">
        <v>87</v>
      </c>
      <c r="F143" s="10" t="s">
        <v>267</v>
      </c>
      <c r="G143" s="10" t="s">
        <v>19</v>
      </c>
      <c r="H143" s="7" t="s">
        <v>14</v>
      </c>
      <c r="I143" s="11">
        <v>1651</v>
      </c>
    </row>
    <row r="144" spans="1:9" x14ac:dyDescent="0.3">
      <c r="A144" s="2" t="s">
        <v>268</v>
      </c>
      <c r="B144" s="3">
        <v>46069</v>
      </c>
      <c r="C144" s="4">
        <f t="shared" si="2"/>
        <v>46054</v>
      </c>
      <c r="D144" s="5" t="s">
        <v>47</v>
      </c>
      <c r="E144" s="5" t="s">
        <v>249</v>
      </c>
      <c r="F144" s="5" t="s">
        <v>250</v>
      </c>
      <c r="G144" s="5" t="s">
        <v>13</v>
      </c>
      <c r="H144" s="2" t="s">
        <v>14</v>
      </c>
      <c r="I144" s="6">
        <v>278</v>
      </c>
    </row>
    <row r="145" spans="1:9" x14ac:dyDescent="0.3">
      <c r="A145" s="7" t="s">
        <v>269</v>
      </c>
      <c r="B145" s="8">
        <v>46071</v>
      </c>
      <c r="C145" s="9">
        <f t="shared" si="2"/>
        <v>46054</v>
      </c>
      <c r="D145" s="10" t="s">
        <v>26</v>
      </c>
      <c r="E145" s="10" t="s">
        <v>27</v>
      </c>
      <c r="F145" s="10" t="s">
        <v>28</v>
      </c>
      <c r="G145" s="10" t="s">
        <v>36</v>
      </c>
      <c r="H145" s="7" t="s">
        <v>20</v>
      </c>
      <c r="I145" s="11">
        <v>138</v>
      </c>
    </row>
    <row r="146" spans="1:9" x14ac:dyDescent="0.3">
      <c r="A146" s="2" t="s">
        <v>270</v>
      </c>
      <c r="B146" s="3">
        <v>46071</v>
      </c>
      <c r="C146" s="4">
        <f t="shared" si="2"/>
        <v>46054</v>
      </c>
      <c r="D146" s="5" t="s">
        <v>22</v>
      </c>
      <c r="E146" s="5" t="s">
        <v>73</v>
      </c>
      <c r="F146" s="5" t="s">
        <v>162</v>
      </c>
      <c r="G146" s="5" t="s">
        <v>19</v>
      </c>
      <c r="H146" s="2" t="s">
        <v>14</v>
      </c>
      <c r="I146" s="6">
        <v>1061</v>
      </c>
    </row>
    <row r="147" spans="1:9" x14ac:dyDescent="0.3">
      <c r="A147" s="7" t="s">
        <v>271</v>
      </c>
      <c r="B147" s="8">
        <v>46071</v>
      </c>
      <c r="C147" s="9">
        <f t="shared" si="2"/>
        <v>46054</v>
      </c>
      <c r="D147" s="10" t="s">
        <v>22</v>
      </c>
      <c r="E147" s="10" t="s">
        <v>122</v>
      </c>
      <c r="F147" s="10" t="s">
        <v>272</v>
      </c>
      <c r="G147" s="10" t="s">
        <v>42</v>
      </c>
      <c r="H147" s="7" t="s">
        <v>20</v>
      </c>
      <c r="I147" s="11">
        <v>111</v>
      </c>
    </row>
    <row r="148" spans="1:9" x14ac:dyDescent="0.3">
      <c r="A148" s="2" t="s">
        <v>273</v>
      </c>
      <c r="B148" s="3">
        <v>46072</v>
      </c>
      <c r="C148" s="4">
        <f t="shared" si="2"/>
        <v>46054</v>
      </c>
      <c r="D148" s="5" t="s">
        <v>10</v>
      </c>
      <c r="E148" s="5" t="s">
        <v>34</v>
      </c>
      <c r="F148" s="5" t="s">
        <v>35</v>
      </c>
      <c r="G148" s="5" t="s">
        <v>19</v>
      </c>
      <c r="H148" s="2" t="s">
        <v>14</v>
      </c>
      <c r="I148" s="6">
        <v>849</v>
      </c>
    </row>
    <row r="149" spans="1:9" x14ac:dyDescent="0.3">
      <c r="A149" s="7" t="s">
        <v>274</v>
      </c>
      <c r="B149" s="8">
        <v>46073</v>
      </c>
      <c r="C149" s="9">
        <f t="shared" si="2"/>
        <v>46054</v>
      </c>
      <c r="D149" s="10" t="s">
        <v>51</v>
      </c>
      <c r="E149" s="10" t="s">
        <v>205</v>
      </c>
      <c r="F149" s="10" t="s">
        <v>275</v>
      </c>
      <c r="G149" s="10" t="s">
        <v>19</v>
      </c>
      <c r="H149" s="7" t="s">
        <v>20</v>
      </c>
      <c r="I149" s="11">
        <v>665</v>
      </c>
    </row>
    <row r="150" spans="1:9" x14ac:dyDescent="0.3">
      <c r="A150" s="2" t="s">
        <v>276</v>
      </c>
      <c r="B150" s="3">
        <v>46074</v>
      </c>
      <c r="C150" s="4">
        <f t="shared" si="2"/>
        <v>46054</v>
      </c>
      <c r="D150" s="5" t="s">
        <v>26</v>
      </c>
      <c r="E150" s="5" t="s">
        <v>27</v>
      </c>
      <c r="F150" s="5" t="s">
        <v>91</v>
      </c>
      <c r="G150" s="5" t="s">
        <v>19</v>
      </c>
      <c r="H150" s="2" t="s">
        <v>20</v>
      </c>
      <c r="I150" s="6">
        <v>400</v>
      </c>
    </row>
    <row r="151" spans="1:9" x14ac:dyDescent="0.3">
      <c r="A151" s="7" t="s">
        <v>277</v>
      </c>
      <c r="B151" s="8">
        <v>46074</v>
      </c>
      <c r="C151" s="9">
        <f t="shared" si="2"/>
        <v>46054</v>
      </c>
      <c r="D151" s="10" t="s">
        <v>47</v>
      </c>
      <c r="E151" s="10" t="s">
        <v>249</v>
      </c>
      <c r="F151" s="10" t="s">
        <v>250</v>
      </c>
      <c r="G151" s="10" t="s">
        <v>36</v>
      </c>
      <c r="H151" s="7" t="s">
        <v>14</v>
      </c>
      <c r="I151" s="11">
        <v>278</v>
      </c>
    </row>
    <row r="152" spans="1:9" x14ac:dyDescent="0.3">
      <c r="A152" s="2" t="s">
        <v>278</v>
      </c>
      <c r="B152" s="3">
        <v>46076</v>
      </c>
      <c r="C152" s="4">
        <f t="shared" si="2"/>
        <v>46054</v>
      </c>
      <c r="D152" s="5" t="s">
        <v>47</v>
      </c>
      <c r="E152" s="5" t="s">
        <v>249</v>
      </c>
      <c r="F152" s="5" t="s">
        <v>279</v>
      </c>
      <c r="G152" s="5" t="s">
        <v>19</v>
      </c>
      <c r="H152" s="2" t="s">
        <v>14</v>
      </c>
      <c r="I152" s="6">
        <v>525</v>
      </c>
    </row>
    <row r="153" spans="1:9" x14ac:dyDescent="0.3">
      <c r="A153" s="7" t="s">
        <v>280</v>
      </c>
      <c r="B153" s="8">
        <v>46077</v>
      </c>
      <c r="C153" s="9">
        <f t="shared" si="2"/>
        <v>46054</v>
      </c>
      <c r="D153" s="10" t="s">
        <v>10</v>
      </c>
      <c r="E153" s="10" t="s">
        <v>144</v>
      </c>
      <c r="F153" s="10" t="s">
        <v>281</v>
      </c>
      <c r="G153" s="10" t="s">
        <v>19</v>
      </c>
      <c r="H153" s="7" t="s">
        <v>20</v>
      </c>
      <c r="I153" s="11">
        <v>2707</v>
      </c>
    </row>
    <row r="154" spans="1:9" x14ac:dyDescent="0.3">
      <c r="A154" s="2" t="s">
        <v>282</v>
      </c>
      <c r="B154" s="3">
        <v>46077</v>
      </c>
      <c r="C154" s="4">
        <f t="shared" si="2"/>
        <v>46054</v>
      </c>
      <c r="D154" s="5" t="s">
        <v>47</v>
      </c>
      <c r="E154" s="5" t="s">
        <v>174</v>
      </c>
      <c r="F154" s="5" t="s">
        <v>175</v>
      </c>
      <c r="G154" s="5" t="s">
        <v>13</v>
      </c>
      <c r="H154" s="2" t="s">
        <v>14</v>
      </c>
      <c r="I154" s="6">
        <v>998</v>
      </c>
    </row>
    <row r="155" spans="1:9" x14ac:dyDescent="0.3">
      <c r="A155" s="7" t="s">
        <v>283</v>
      </c>
      <c r="B155" s="8">
        <v>46079</v>
      </c>
      <c r="C155" s="9">
        <f t="shared" si="2"/>
        <v>46054</v>
      </c>
      <c r="D155" s="10" t="s">
        <v>26</v>
      </c>
      <c r="E155" s="10" t="s">
        <v>67</v>
      </c>
      <c r="F155" s="10" t="s">
        <v>192</v>
      </c>
      <c r="G155" s="10" t="s">
        <v>58</v>
      </c>
      <c r="H155" s="7" t="s">
        <v>20</v>
      </c>
      <c r="I155" s="11">
        <v>620</v>
      </c>
    </row>
    <row r="156" spans="1:9" x14ac:dyDescent="0.3">
      <c r="A156" s="2" t="s">
        <v>284</v>
      </c>
      <c r="B156" s="3">
        <v>46080</v>
      </c>
      <c r="C156" s="4">
        <f t="shared" si="2"/>
        <v>46054</v>
      </c>
      <c r="D156" s="5" t="s">
        <v>30</v>
      </c>
      <c r="E156" s="5" t="s">
        <v>127</v>
      </c>
      <c r="F156" s="5" t="s">
        <v>285</v>
      </c>
      <c r="G156" s="5" t="s">
        <v>19</v>
      </c>
      <c r="H156" s="2" t="s">
        <v>20</v>
      </c>
      <c r="I156" s="6">
        <v>1372</v>
      </c>
    </row>
    <row r="157" spans="1:9" x14ac:dyDescent="0.3">
      <c r="A157" s="7" t="s">
        <v>286</v>
      </c>
      <c r="B157" s="8">
        <v>46080</v>
      </c>
      <c r="C157" s="9">
        <f t="shared" si="2"/>
        <v>46054</v>
      </c>
      <c r="D157" s="10" t="s">
        <v>22</v>
      </c>
      <c r="E157" s="10" t="s">
        <v>122</v>
      </c>
      <c r="F157" s="10" t="s">
        <v>272</v>
      </c>
      <c r="G157" s="10" t="s">
        <v>19</v>
      </c>
      <c r="H157" s="7" t="s">
        <v>20</v>
      </c>
      <c r="I157" s="11">
        <v>123</v>
      </c>
    </row>
    <row r="158" spans="1:9" x14ac:dyDescent="0.3">
      <c r="A158" s="2" t="s">
        <v>287</v>
      </c>
      <c r="B158" s="3">
        <v>46081</v>
      </c>
      <c r="C158" s="4">
        <f t="shared" si="2"/>
        <v>46054</v>
      </c>
      <c r="D158" s="5" t="s">
        <v>30</v>
      </c>
      <c r="E158" s="5" t="s">
        <v>31</v>
      </c>
      <c r="F158" s="5" t="s">
        <v>136</v>
      </c>
      <c r="G158" s="5" t="s">
        <v>19</v>
      </c>
      <c r="H158" s="2" t="s">
        <v>14</v>
      </c>
      <c r="I158" s="6">
        <v>1536</v>
      </c>
    </row>
    <row r="159" spans="1:9" x14ac:dyDescent="0.3">
      <c r="A159" s="7" t="s">
        <v>288</v>
      </c>
      <c r="B159" s="8">
        <v>46082</v>
      </c>
      <c r="C159" s="9">
        <f t="shared" si="2"/>
        <v>46082</v>
      </c>
      <c r="D159" s="10" t="s">
        <v>26</v>
      </c>
      <c r="E159" s="10" t="s">
        <v>80</v>
      </c>
      <c r="F159" s="10" t="s">
        <v>81</v>
      </c>
      <c r="G159" s="10" t="s">
        <v>58</v>
      </c>
      <c r="H159" s="7" t="s">
        <v>20</v>
      </c>
      <c r="I159" s="11">
        <v>352</v>
      </c>
    </row>
    <row r="160" spans="1:9" x14ac:dyDescent="0.3">
      <c r="A160" s="2" t="s">
        <v>289</v>
      </c>
      <c r="B160" s="3">
        <v>46082</v>
      </c>
      <c r="C160" s="4">
        <f t="shared" si="2"/>
        <v>46082</v>
      </c>
      <c r="D160" s="5" t="s">
        <v>22</v>
      </c>
      <c r="E160" s="5" t="s">
        <v>73</v>
      </c>
      <c r="F160" s="5" t="s">
        <v>110</v>
      </c>
      <c r="G160" s="5" t="s">
        <v>19</v>
      </c>
      <c r="H160" s="2" t="s">
        <v>14</v>
      </c>
      <c r="I160" s="6">
        <v>1032</v>
      </c>
    </row>
    <row r="161" spans="1:9" x14ac:dyDescent="0.3">
      <c r="A161" s="7" t="s">
        <v>290</v>
      </c>
      <c r="B161" s="8">
        <v>46083</v>
      </c>
      <c r="C161" s="9">
        <f t="shared" si="2"/>
        <v>46082</v>
      </c>
      <c r="D161" s="10" t="s">
        <v>10</v>
      </c>
      <c r="E161" s="10" t="s">
        <v>11</v>
      </c>
      <c r="F161" s="10" t="s">
        <v>12</v>
      </c>
      <c r="G161" s="10" t="s">
        <v>13</v>
      </c>
      <c r="H161" s="7" t="s">
        <v>14</v>
      </c>
      <c r="I161" s="11">
        <v>8500</v>
      </c>
    </row>
    <row r="162" spans="1:9" x14ac:dyDescent="0.3">
      <c r="A162" s="2" t="s">
        <v>291</v>
      </c>
      <c r="B162" s="3">
        <v>46084</v>
      </c>
      <c r="C162" s="4">
        <f t="shared" si="2"/>
        <v>46082</v>
      </c>
      <c r="D162" s="5" t="s">
        <v>16</v>
      </c>
      <c r="E162" s="5" t="s">
        <v>44</v>
      </c>
      <c r="F162" s="5" t="s">
        <v>203</v>
      </c>
      <c r="G162" s="5" t="s">
        <v>42</v>
      </c>
      <c r="H162" s="2" t="s">
        <v>20</v>
      </c>
      <c r="I162" s="6">
        <v>540</v>
      </c>
    </row>
    <row r="163" spans="1:9" x14ac:dyDescent="0.3">
      <c r="A163" s="7" t="s">
        <v>292</v>
      </c>
      <c r="B163" s="8">
        <v>46084</v>
      </c>
      <c r="C163" s="9">
        <f t="shared" si="2"/>
        <v>46082</v>
      </c>
      <c r="D163" s="10" t="s">
        <v>22</v>
      </c>
      <c r="E163" s="10" t="s">
        <v>122</v>
      </c>
      <c r="F163" s="10" t="s">
        <v>293</v>
      </c>
      <c r="G163" s="10" t="s">
        <v>42</v>
      </c>
      <c r="H163" s="7" t="s">
        <v>20</v>
      </c>
      <c r="I163" s="11">
        <v>384</v>
      </c>
    </row>
    <row r="164" spans="1:9" x14ac:dyDescent="0.3">
      <c r="A164" s="2" t="s">
        <v>294</v>
      </c>
      <c r="B164" s="3">
        <v>46088</v>
      </c>
      <c r="C164" s="4">
        <f t="shared" si="2"/>
        <v>46082</v>
      </c>
      <c r="D164" s="5" t="s">
        <v>16</v>
      </c>
      <c r="E164" s="5" t="s">
        <v>17</v>
      </c>
      <c r="F164" s="5" t="s">
        <v>295</v>
      </c>
      <c r="G164" s="5" t="s">
        <v>58</v>
      </c>
      <c r="H164" s="2" t="s">
        <v>20</v>
      </c>
      <c r="I164" s="6">
        <v>1952</v>
      </c>
    </row>
    <row r="165" spans="1:9" x14ac:dyDescent="0.3">
      <c r="A165" s="7" t="s">
        <v>296</v>
      </c>
      <c r="B165" s="8">
        <v>46089</v>
      </c>
      <c r="C165" s="9">
        <f t="shared" si="2"/>
        <v>46082</v>
      </c>
      <c r="D165" s="10" t="s">
        <v>26</v>
      </c>
      <c r="E165" s="10" t="s">
        <v>80</v>
      </c>
      <c r="F165" s="10" t="s">
        <v>100</v>
      </c>
      <c r="G165" s="10" t="s">
        <v>19</v>
      </c>
      <c r="H165" s="7" t="s">
        <v>20</v>
      </c>
      <c r="I165" s="11">
        <v>1045</v>
      </c>
    </row>
    <row r="166" spans="1:9" x14ac:dyDescent="0.3">
      <c r="A166" s="2" t="s">
        <v>297</v>
      </c>
      <c r="B166" s="3">
        <v>46090</v>
      </c>
      <c r="C166" s="4">
        <f t="shared" si="2"/>
        <v>46082</v>
      </c>
      <c r="D166" s="5" t="s">
        <v>26</v>
      </c>
      <c r="E166" s="5" t="s">
        <v>38</v>
      </c>
      <c r="F166" s="5" t="s">
        <v>151</v>
      </c>
      <c r="G166" s="5" t="s">
        <v>19</v>
      </c>
      <c r="H166" s="2" t="s">
        <v>14</v>
      </c>
      <c r="I166" s="6">
        <v>1503</v>
      </c>
    </row>
    <row r="167" spans="1:9" x14ac:dyDescent="0.3">
      <c r="A167" s="7" t="s">
        <v>298</v>
      </c>
      <c r="B167" s="8">
        <v>46090</v>
      </c>
      <c r="C167" s="9">
        <f t="shared" si="2"/>
        <v>46082</v>
      </c>
      <c r="D167" s="10" t="s">
        <v>26</v>
      </c>
      <c r="E167" s="10" t="s">
        <v>38</v>
      </c>
      <c r="F167" s="10" t="s">
        <v>60</v>
      </c>
      <c r="G167" s="10" t="s">
        <v>42</v>
      </c>
      <c r="H167" s="7" t="s">
        <v>14</v>
      </c>
      <c r="I167" s="11">
        <v>952</v>
      </c>
    </row>
    <row r="168" spans="1:9" x14ac:dyDescent="0.3">
      <c r="A168" s="2" t="s">
        <v>299</v>
      </c>
      <c r="B168" s="3">
        <v>46090</v>
      </c>
      <c r="C168" s="4">
        <f t="shared" si="2"/>
        <v>46082</v>
      </c>
      <c r="D168" s="5" t="s">
        <v>30</v>
      </c>
      <c r="E168" s="5" t="s">
        <v>127</v>
      </c>
      <c r="F168" s="5" t="s">
        <v>128</v>
      </c>
      <c r="G168" s="5" t="s">
        <v>19</v>
      </c>
      <c r="H168" s="2" t="s">
        <v>20</v>
      </c>
      <c r="I168" s="6">
        <v>1453</v>
      </c>
    </row>
    <row r="169" spans="1:9" x14ac:dyDescent="0.3">
      <c r="A169" s="7" t="s">
        <v>300</v>
      </c>
      <c r="B169" s="8">
        <v>46091</v>
      </c>
      <c r="C169" s="9">
        <f t="shared" si="2"/>
        <v>46082</v>
      </c>
      <c r="D169" s="10" t="s">
        <v>26</v>
      </c>
      <c r="E169" s="10" t="s">
        <v>27</v>
      </c>
      <c r="F169" s="10" t="s">
        <v>62</v>
      </c>
      <c r="G169" s="10" t="s">
        <v>19</v>
      </c>
      <c r="H169" s="7" t="s">
        <v>20</v>
      </c>
      <c r="I169" s="11">
        <v>300</v>
      </c>
    </row>
    <row r="170" spans="1:9" x14ac:dyDescent="0.3">
      <c r="A170" s="2" t="s">
        <v>301</v>
      </c>
      <c r="B170" s="3">
        <v>46091</v>
      </c>
      <c r="C170" s="4">
        <f t="shared" si="2"/>
        <v>46082</v>
      </c>
      <c r="D170" s="5" t="s">
        <v>16</v>
      </c>
      <c r="E170" s="5" t="s">
        <v>44</v>
      </c>
      <c r="F170" s="5" t="s">
        <v>45</v>
      </c>
      <c r="G170" s="5" t="s">
        <v>19</v>
      </c>
      <c r="H170" s="2" t="s">
        <v>20</v>
      </c>
      <c r="I170" s="6">
        <v>510</v>
      </c>
    </row>
    <row r="171" spans="1:9" x14ac:dyDescent="0.3">
      <c r="A171" s="7" t="s">
        <v>302</v>
      </c>
      <c r="B171" s="8">
        <v>46091</v>
      </c>
      <c r="C171" s="9">
        <f t="shared" si="2"/>
        <v>46082</v>
      </c>
      <c r="D171" s="10" t="s">
        <v>16</v>
      </c>
      <c r="E171" s="10" t="s">
        <v>44</v>
      </c>
      <c r="F171" s="10" t="s">
        <v>45</v>
      </c>
      <c r="G171" s="10" t="s">
        <v>36</v>
      </c>
      <c r="H171" s="7" t="s">
        <v>20</v>
      </c>
      <c r="I171" s="11">
        <v>643</v>
      </c>
    </row>
    <row r="172" spans="1:9" x14ac:dyDescent="0.3">
      <c r="A172" s="2" t="s">
        <v>303</v>
      </c>
      <c r="B172" s="3">
        <v>46092</v>
      </c>
      <c r="C172" s="4">
        <f t="shared" si="2"/>
        <v>46082</v>
      </c>
      <c r="D172" s="5" t="s">
        <v>26</v>
      </c>
      <c r="E172" s="5" t="s">
        <v>38</v>
      </c>
      <c r="F172" s="5" t="s">
        <v>60</v>
      </c>
      <c r="G172" s="5" t="s">
        <v>19</v>
      </c>
      <c r="H172" s="2" t="s">
        <v>14</v>
      </c>
      <c r="I172" s="6">
        <v>297</v>
      </c>
    </row>
    <row r="173" spans="1:9" x14ac:dyDescent="0.3">
      <c r="A173" s="7" t="s">
        <v>304</v>
      </c>
      <c r="B173" s="8">
        <v>46092</v>
      </c>
      <c r="C173" s="9">
        <f t="shared" si="2"/>
        <v>46082</v>
      </c>
      <c r="D173" s="10" t="s">
        <v>26</v>
      </c>
      <c r="E173" s="10" t="s">
        <v>27</v>
      </c>
      <c r="F173" s="10" t="s">
        <v>28</v>
      </c>
      <c r="G173" s="10" t="s">
        <v>19</v>
      </c>
      <c r="H173" s="7" t="s">
        <v>20</v>
      </c>
      <c r="I173" s="11">
        <v>259</v>
      </c>
    </row>
    <row r="174" spans="1:9" x14ac:dyDescent="0.3">
      <c r="A174" s="2" t="s">
        <v>305</v>
      </c>
      <c r="B174" s="3">
        <v>46092</v>
      </c>
      <c r="C174" s="4">
        <f t="shared" si="2"/>
        <v>46082</v>
      </c>
      <c r="D174" s="5" t="s">
        <v>47</v>
      </c>
      <c r="E174" s="5" t="s">
        <v>130</v>
      </c>
      <c r="F174" s="5" t="s">
        <v>131</v>
      </c>
      <c r="G174" s="5" t="s">
        <v>19</v>
      </c>
      <c r="H174" s="2" t="s">
        <v>14</v>
      </c>
      <c r="I174" s="6">
        <v>1066</v>
      </c>
    </row>
    <row r="175" spans="1:9" x14ac:dyDescent="0.3">
      <c r="A175" s="7" t="s">
        <v>306</v>
      </c>
      <c r="B175" s="8">
        <v>46093</v>
      </c>
      <c r="C175" s="9">
        <f t="shared" si="2"/>
        <v>46082</v>
      </c>
      <c r="D175" s="10" t="s">
        <v>30</v>
      </c>
      <c r="E175" s="10" t="s">
        <v>106</v>
      </c>
      <c r="F175" s="10" t="s">
        <v>307</v>
      </c>
      <c r="G175" s="10" t="s">
        <v>36</v>
      </c>
      <c r="H175" s="7" t="s">
        <v>14</v>
      </c>
      <c r="I175" s="11">
        <v>1189</v>
      </c>
    </row>
    <row r="176" spans="1:9" x14ac:dyDescent="0.3">
      <c r="A176" s="2" t="s">
        <v>308</v>
      </c>
      <c r="B176" s="3">
        <v>46093</v>
      </c>
      <c r="C176" s="4">
        <f t="shared" si="2"/>
        <v>46082</v>
      </c>
      <c r="D176" s="5" t="s">
        <v>10</v>
      </c>
      <c r="E176" s="5" t="s">
        <v>144</v>
      </c>
      <c r="F176" s="5" t="s">
        <v>281</v>
      </c>
      <c r="G176" s="5" t="s">
        <v>58</v>
      </c>
      <c r="H176" s="2" t="s">
        <v>20</v>
      </c>
      <c r="I176" s="6">
        <v>1475</v>
      </c>
    </row>
    <row r="177" spans="1:9" x14ac:dyDescent="0.3">
      <c r="A177" s="7" t="s">
        <v>309</v>
      </c>
      <c r="B177" s="8">
        <v>46094</v>
      </c>
      <c r="C177" s="9">
        <f t="shared" si="2"/>
        <v>46082</v>
      </c>
      <c r="D177" s="10" t="s">
        <v>47</v>
      </c>
      <c r="E177" s="10" t="s">
        <v>130</v>
      </c>
      <c r="F177" s="10" t="s">
        <v>227</v>
      </c>
      <c r="G177" s="10" t="s">
        <v>19</v>
      </c>
      <c r="H177" s="7" t="s">
        <v>14</v>
      </c>
      <c r="I177" s="11">
        <v>845</v>
      </c>
    </row>
    <row r="178" spans="1:9" x14ac:dyDescent="0.3">
      <c r="A178" s="2" t="s">
        <v>310</v>
      </c>
      <c r="B178" s="3">
        <v>46095</v>
      </c>
      <c r="C178" s="4">
        <f t="shared" si="2"/>
        <v>46082</v>
      </c>
      <c r="D178" s="5" t="s">
        <v>47</v>
      </c>
      <c r="E178" s="5" t="s">
        <v>130</v>
      </c>
      <c r="F178" s="5" t="s">
        <v>227</v>
      </c>
      <c r="G178" s="5" t="s">
        <v>19</v>
      </c>
      <c r="H178" s="2" t="s">
        <v>14</v>
      </c>
      <c r="I178" s="6">
        <v>1266</v>
      </c>
    </row>
    <row r="179" spans="1:9" x14ac:dyDescent="0.3">
      <c r="A179" s="7" t="s">
        <v>311</v>
      </c>
      <c r="B179" s="8">
        <v>46097</v>
      </c>
      <c r="C179" s="9">
        <f t="shared" si="2"/>
        <v>46082</v>
      </c>
      <c r="D179" s="10" t="s">
        <v>16</v>
      </c>
      <c r="E179" s="10" t="s">
        <v>138</v>
      </c>
      <c r="F179" s="10" t="s">
        <v>139</v>
      </c>
      <c r="G179" s="10" t="s">
        <v>42</v>
      </c>
      <c r="H179" s="7" t="s">
        <v>20</v>
      </c>
      <c r="I179" s="11">
        <v>2209</v>
      </c>
    </row>
    <row r="180" spans="1:9" x14ac:dyDescent="0.3">
      <c r="A180" s="2" t="s">
        <v>312</v>
      </c>
      <c r="B180" s="3">
        <v>46098</v>
      </c>
      <c r="C180" s="4">
        <f t="shared" si="2"/>
        <v>46082</v>
      </c>
      <c r="D180" s="5" t="s">
        <v>76</v>
      </c>
      <c r="E180" s="5" t="s">
        <v>97</v>
      </c>
      <c r="F180" s="5" t="s">
        <v>113</v>
      </c>
      <c r="G180" s="5" t="s">
        <v>19</v>
      </c>
      <c r="H180" s="2" t="s">
        <v>20</v>
      </c>
      <c r="I180" s="6">
        <v>212</v>
      </c>
    </row>
    <row r="181" spans="1:9" x14ac:dyDescent="0.3">
      <c r="A181" s="7" t="s">
        <v>313</v>
      </c>
      <c r="B181" s="8">
        <v>46099</v>
      </c>
      <c r="C181" s="9">
        <f t="shared" si="2"/>
        <v>46082</v>
      </c>
      <c r="D181" s="10" t="s">
        <v>22</v>
      </c>
      <c r="E181" s="10" t="s">
        <v>122</v>
      </c>
      <c r="F181" s="10" t="s">
        <v>272</v>
      </c>
      <c r="G181" s="10" t="s">
        <v>42</v>
      </c>
      <c r="H181" s="7" t="s">
        <v>20</v>
      </c>
      <c r="I181" s="11">
        <v>228</v>
      </c>
    </row>
    <row r="182" spans="1:9" x14ac:dyDescent="0.3">
      <c r="A182" s="2" t="s">
        <v>314</v>
      </c>
      <c r="B182" s="3">
        <v>46099</v>
      </c>
      <c r="C182" s="4">
        <f t="shared" si="2"/>
        <v>46082</v>
      </c>
      <c r="D182" s="5" t="s">
        <v>47</v>
      </c>
      <c r="E182" s="5" t="s">
        <v>48</v>
      </c>
      <c r="F182" s="5" t="s">
        <v>57</v>
      </c>
      <c r="G182" s="5" t="s">
        <v>58</v>
      </c>
      <c r="H182" s="2" t="s">
        <v>14</v>
      </c>
      <c r="I182" s="6">
        <v>366</v>
      </c>
    </row>
    <row r="183" spans="1:9" x14ac:dyDescent="0.3">
      <c r="A183" s="7" t="s">
        <v>315</v>
      </c>
      <c r="B183" s="8">
        <v>46100</v>
      </c>
      <c r="C183" s="9">
        <f t="shared" si="2"/>
        <v>46082</v>
      </c>
      <c r="D183" s="10" t="s">
        <v>26</v>
      </c>
      <c r="E183" s="10" t="s">
        <v>27</v>
      </c>
      <c r="F183" s="10" t="s">
        <v>28</v>
      </c>
      <c r="G183" s="10" t="s">
        <v>19</v>
      </c>
      <c r="H183" s="7" t="s">
        <v>20</v>
      </c>
      <c r="I183" s="11">
        <v>257</v>
      </c>
    </row>
    <row r="184" spans="1:9" x14ac:dyDescent="0.3">
      <c r="A184" s="2" t="s">
        <v>316</v>
      </c>
      <c r="B184" s="3">
        <v>46103</v>
      </c>
      <c r="C184" s="4">
        <f t="shared" si="2"/>
        <v>46082</v>
      </c>
      <c r="D184" s="5" t="s">
        <v>26</v>
      </c>
      <c r="E184" s="5" t="s">
        <v>80</v>
      </c>
      <c r="F184" s="5" t="s">
        <v>83</v>
      </c>
      <c r="G184" s="5" t="s">
        <v>58</v>
      </c>
      <c r="H184" s="2" t="s">
        <v>20</v>
      </c>
      <c r="I184" s="6">
        <v>921</v>
      </c>
    </row>
    <row r="185" spans="1:9" x14ac:dyDescent="0.3">
      <c r="A185" s="7" t="s">
        <v>317</v>
      </c>
      <c r="B185" s="8">
        <v>46103</v>
      </c>
      <c r="C185" s="9">
        <f t="shared" si="2"/>
        <v>46082</v>
      </c>
      <c r="D185" s="10" t="s">
        <v>26</v>
      </c>
      <c r="E185" s="10" t="s">
        <v>27</v>
      </c>
      <c r="F185" s="10" t="s">
        <v>241</v>
      </c>
      <c r="G185" s="10" t="s">
        <v>19</v>
      </c>
      <c r="H185" s="7" t="s">
        <v>20</v>
      </c>
      <c r="I185" s="11">
        <v>175</v>
      </c>
    </row>
    <row r="186" spans="1:9" x14ac:dyDescent="0.3">
      <c r="A186" s="2" t="s">
        <v>318</v>
      </c>
      <c r="B186" s="3">
        <v>46103</v>
      </c>
      <c r="C186" s="4">
        <f t="shared" si="2"/>
        <v>46082</v>
      </c>
      <c r="D186" s="5" t="s">
        <v>30</v>
      </c>
      <c r="E186" s="5" t="s">
        <v>31</v>
      </c>
      <c r="F186" s="5" t="s">
        <v>32</v>
      </c>
      <c r="G186" s="5" t="s">
        <v>58</v>
      </c>
      <c r="H186" s="2" t="s">
        <v>14</v>
      </c>
      <c r="I186" s="6">
        <v>1661</v>
      </c>
    </row>
    <row r="187" spans="1:9" x14ac:dyDescent="0.3">
      <c r="A187" s="7" t="s">
        <v>319</v>
      </c>
      <c r="B187" s="8">
        <v>46104</v>
      </c>
      <c r="C187" s="9">
        <f t="shared" si="2"/>
        <v>46082</v>
      </c>
      <c r="D187" s="10" t="s">
        <v>26</v>
      </c>
      <c r="E187" s="10" t="s">
        <v>67</v>
      </c>
      <c r="F187" s="10" t="s">
        <v>192</v>
      </c>
      <c r="G187" s="10" t="s">
        <v>36</v>
      </c>
      <c r="H187" s="7" t="s">
        <v>20</v>
      </c>
      <c r="I187" s="11">
        <v>190</v>
      </c>
    </row>
    <row r="188" spans="1:9" x14ac:dyDescent="0.3">
      <c r="A188" s="2" t="s">
        <v>320</v>
      </c>
      <c r="B188" s="3">
        <v>46105</v>
      </c>
      <c r="C188" s="4">
        <f t="shared" si="2"/>
        <v>46082</v>
      </c>
      <c r="D188" s="5" t="s">
        <v>76</v>
      </c>
      <c r="E188" s="5" t="s">
        <v>223</v>
      </c>
      <c r="F188" s="5" t="s">
        <v>321</v>
      </c>
      <c r="G188" s="5" t="s">
        <v>42</v>
      </c>
      <c r="H188" s="2" t="s">
        <v>20</v>
      </c>
      <c r="I188" s="6">
        <v>330</v>
      </c>
    </row>
    <row r="189" spans="1:9" x14ac:dyDescent="0.3">
      <c r="A189" s="7" t="s">
        <v>322</v>
      </c>
      <c r="B189" s="8">
        <v>46106</v>
      </c>
      <c r="C189" s="9">
        <f t="shared" si="2"/>
        <v>46082</v>
      </c>
      <c r="D189" s="10" t="s">
        <v>22</v>
      </c>
      <c r="E189" s="10" t="s">
        <v>73</v>
      </c>
      <c r="F189" s="10" t="s">
        <v>74</v>
      </c>
      <c r="G189" s="10" t="s">
        <v>19</v>
      </c>
      <c r="H189" s="7" t="s">
        <v>14</v>
      </c>
      <c r="I189" s="11">
        <v>788</v>
      </c>
    </row>
    <row r="190" spans="1:9" x14ac:dyDescent="0.3">
      <c r="A190" s="2" t="s">
        <v>323</v>
      </c>
      <c r="B190" s="3">
        <v>46106</v>
      </c>
      <c r="C190" s="4">
        <f t="shared" si="2"/>
        <v>46082</v>
      </c>
      <c r="D190" s="5" t="s">
        <v>22</v>
      </c>
      <c r="E190" s="5" t="s">
        <v>73</v>
      </c>
      <c r="F190" s="5" t="s">
        <v>74</v>
      </c>
      <c r="G190" s="5" t="s">
        <v>13</v>
      </c>
      <c r="H190" s="2" t="s">
        <v>14</v>
      </c>
      <c r="I190" s="6">
        <v>1175</v>
      </c>
    </row>
    <row r="191" spans="1:9" x14ac:dyDescent="0.3">
      <c r="A191" s="7" t="s">
        <v>324</v>
      </c>
      <c r="B191" s="8">
        <v>46107</v>
      </c>
      <c r="C191" s="9">
        <f t="shared" si="2"/>
        <v>46082</v>
      </c>
      <c r="D191" s="10" t="s">
        <v>16</v>
      </c>
      <c r="E191" s="10" t="s">
        <v>64</v>
      </c>
      <c r="F191" s="10" t="s">
        <v>325</v>
      </c>
      <c r="G191" s="10" t="s">
        <v>19</v>
      </c>
      <c r="H191" s="7" t="s">
        <v>20</v>
      </c>
      <c r="I191" s="11">
        <v>180</v>
      </c>
    </row>
    <row r="192" spans="1:9" x14ac:dyDescent="0.3">
      <c r="A192" s="2" t="s">
        <v>326</v>
      </c>
      <c r="B192" s="3">
        <v>46108</v>
      </c>
      <c r="C192" s="4">
        <f t="shared" si="2"/>
        <v>46082</v>
      </c>
      <c r="D192" s="5" t="s">
        <v>22</v>
      </c>
      <c r="E192" s="5" t="s">
        <v>122</v>
      </c>
      <c r="F192" s="5" t="s">
        <v>123</v>
      </c>
      <c r="G192" s="5" t="s">
        <v>19</v>
      </c>
      <c r="H192" s="2" t="s">
        <v>20</v>
      </c>
      <c r="I192" s="6">
        <v>109</v>
      </c>
    </row>
    <row r="193" spans="1:9" x14ac:dyDescent="0.3">
      <c r="A193" s="7" t="s">
        <v>327</v>
      </c>
      <c r="B193" s="8">
        <v>46109</v>
      </c>
      <c r="C193" s="9">
        <f t="shared" si="2"/>
        <v>46082</v>
      </c>
      <c r="D193" s="10" t="s">
        <v>16</v>
      </c>
      <c r="E193" s="10" t="s">
        <v>138</v>
      </c>
      <c r="F193" s="10" t="s">
        <v>139</v>
      </c>
      <c r="G193" s="10" t="s">
        <v>13</v>
      </c>
      <c r="H193" s="7" t="s">
        <v>20</v>
      </c>
      <c r="I193" s="11">
        <v>3064</v>
      </c>
    </row>
    <row r="194" spans="1:9" x14ac:dyDescent="0.3">
      <c r="A194" s="2" t="s">
        <v>328</v>
      </c>
      <c r="B194" s="3">
        <v>46109</v>
      </c>
      <c r="C194" s="4">
        <f t="shared" ref="C194:C257" si="3">DATE(YEAR(B194),MONTH(B194),1)</f>
        <v>46082</v>
      </c>
      <c r="D194" s="5" t="s">
        <v>22</v>
      </c>
      <c r="E194" s="5" t="s">
        <v>23</v>
      </c>
      <c r="F194" s="5" t="s">
        <v>160</v>
      </c>
      <c r="G194" s="5" t="s">
        <v>19</v>
      </c>
      <c r="H194" s="2" t="s">
        <v>14</v>
      </c>
      <c r="I194" s="6">
        <v>403</v>
      </c>
    </row>
    <row r="195" spans="1:9" x14ac:dyDescent="0.3">
      <c r="A195" s="7" t="s">
        <v>329</v>
      </c>
      <c r="B195" s="8">
        <v>46110</v>
      </c>
      <c r="C195" s="9">
        <f t="shared" si="3"/>
        <v>46082</v>
      </c>
      <c r="D195" s="10" t="s">
        <v>51</v>
      </c>
      <c r="E195" s="10" t="s">
        <v>133</v>
      </c>
      <c r="F195" s="10" t="s">
        <v>134</v>
      </c>
      <c r="G195" s="10" t="s">
        <v>19</v>
      </c>
      <c r="H195" s="7" t="s">
        <v>14</v>
      </c>
      <c r="I195" s="11">
        <v>418</v>
      </c>
    </row>
    <row r="196" spans="1:9" x14ac:dyDescent="0.3">
      <c r="A196" s="2" t="s">
        <v>330</v>
      </c>
      <c r="B196" s="3">
        <v>46110</v>
      </c>
      <c r="C196" s="4">
        <f t="shared" si="3"/>
        <v>46082</v>
      </c>
      <c r="D196" s="5" t="s">
        <v>22</v>
      </c>
      <c r="E196" s="5" t="s">
        <v>73</v>
      </c>
      <c r="F196" s="5" t="s">
        <v>74</v>
      </c>
      <c r="G196" s="5" t="s">
        <v>58</v>
      </c>
      <c r="H196" s="2" t="s">
        <v>14</v>
      </c>
      <c r="I196" s="6">
        <v>704</v>
      </c>
    </row>
    <row r="197" spans="1:9" x14ac:dyDescent="0.3">
      <c r="A197" s="7" t="s">
        <v>331</v>
      </c>
      <c r="B197" s="8">
        <v>46111</v>
      </c>
      <c r="C197" s="9">
        <f t="shared" si="3"/>
        <v>46082</v>
      </c>
      <c r="D197" s="10" t="s">
        <v>22</v>
      </c>
      <c r="E197" s="10" t="s">
        <v>122</v>
      </c>
      <c r="F197" s="10" t="s">
        <v>272</v>
      </c>
      <c r="G197" s="10" t="s">
        <v>42</v>
      </c>
      <c r="H197" s="7" t="s">
        <v>20</v>
      </c>
      <c r="I197" s="11">
        <v>435</v>
      </c>
    </row>
    <row r="198" spans="1:9" x14ac:dyDescent="0.3">
      <c r="A198" s="2" t="s">
        <v>332</v>
      </c>
      <c r="B198" s="3">
        <v>46112</v>
      </c>
      <c r="C198" s="4">
        <f t="shared" si="3"/>
        <v>46082</v>
      </c>
      <c r="D198" s="5" t="s">
        <v>22</v>
      </c>
      <c r="E198" s="5" t="s">
        <v>23</v>
      </c>
      <c r="F198" s="5" t="s">
        <v>160</v>
      </c>
      <c r="G198" s="5" t="s">
        <v>13</v>
      </c>
      <c r="H198" s="2" t="s">
        <v>14</v>
      </c>
      <c r="I198" s="6">
        <v>97</v>
      </c>
    </row>
    <row r="199" spans="1:9" x14ac:dyDescent="0.3">
      <c r="A199" s="7" t="s">
        <v>333</v>
      </c>
      <c r="B199" s="8">
        <v>46112</v>
      </c>
      <c r="C199" s="9">
        <f t="shared" si="3"/>
        <v>46082</v>
      </c>
      <c r="D199" s="10" t="s">
        <v>22</v>
      </c>
      <c r="E199" s="10" t="s">
        <v>23</v>
      </c>
      <c r="F199" s="10" t="s">
        <v>41</v>
      </c>
      <c r="G199" s="10" t="s">
        <v>42</v>
      </c>
      <c r="H199" s="7" t="s">
        <v>14</v>
      </c>
      <c r="I199" s="11">
        <v>332</v>
      </c>
    </row>
    <row r="200" spans="1:9" x14ac:dyDescent="0.3">
      <c r="A200" s="2" t="s">
        <v>334</v>
      </c>
      <c r="B200" s="3">
        <v>46113</v>
      </c>
      <c r="C200" s="4">
        <f t="shared" si="3"/>
        <v>46113</v>
      </c>
      <c r="D200" s="5" t="s">
        <v>47</v>
      </c>
      <c r="E200" s="5" t="s">
        <v>174</v>
      </c>
      <c r="F200" s="5" t="s">
        <v>335</v>
      </c>
      <c r="G200" s="5" t="s">
        <v>19</v>
      </c>
      <c r="H200" s="2" t="s">
        <v>14</v>
      </c>
      <c r="I200" s="6">
        <v>858</v>
      </c>
    </row>
    <row r="201" spans="1:9" x14ac:dyDescent="0.3">
      <c r="A201" s="7" t="s">
        <v>336</v>
      </c>
      <c r="B201" s="8">
        <v>46113</v>
      </c>
      <c r="C201" s="9">
        <f t="shared" si="3"/>
        <v>46113</v>
      </c>
      <c r="D201" s="10" t="s">
        <v>47</v>
      </c>
      <c r="E201" s="10" t="s">
        <v>48</v>
      </c>
      <c r="F201" s="10" t="s">
        <v>57</v>
      </c>
      <c r="G201" s="10" t="s">
        <v>19</v>
      </c>
      <c r="H201" s="7" t="s">
        <v>14</v>
      </c>
      <c r="I201" s="11">
        <v>619</v>
      </c>
    </row>
    <row r="202" spans="1:9" x14ac:dyDescent="0.3">
      <c r="A202" s="2" t="s">
        <v>337</v>
      </c>
      <c r="B202" s="3">
        <v>46116</v>
      </c>
      <c r="C202" s="4">
        <f t="shared" si="3"/>
        <v>46113</v>
      </c>
      <c r="D202" s="5" t="s">
        <v>30</v>
      </c>
      <c r="E202" s="5" t="s">
        <v>116</v>
      </c>
      <c r="F202" s="5" t="s">
        <v>338</v>
      </c>
      <c r="G202" s="5" t="s">
        <v>19</v>
      </c>
      <c r="H202" s="2" t="s">
        <v>14</v>
      </c>
      <c r="I202" s="6">
        <v>153</v>
      </c>
    </row>
    <row r="203" spans="1:9" x14ac:dyDescent="0.3">
      <c r="A203" s="7" t="s">
        <v>339</v>
      </c>
      <c r="B203" s="8">
        <v>46117</v>
      </c>
      <c r="C203" s="9">
        <f t="shared" si="3"/>
        <v>46113</v>
      </c>
      <c r="D203" s="10" t="s">
        <v>10</v>
      </c>
      <c r="E203" s="10" t="s">
        <v>11</v>
      </c>
      <c r="F203" s="10" t="s">
        <v>12</v>
      </c>
      <c r="G203" s="10" t="s">
        <v>13</v>
      </c>
      <c r="H203" s="7" t="s">
        <v>14</v>
      </c>
      <c r="I203" s="11">
        <v>8500</v>
      </c>
    </row>
    <row r="204" spans="1:9" x14ac:dyDescent="0.3">
      <c r="A204" s="2" t="s">
        <v>340</v>
      </c>
      <c r="B204" s="3">
        <v>46117</v>
      </c>
      <c r="C204" s="4">
        <f t="shared" si="3"/>
        <v>46113</v>
      </c>
      <c r="D204" s="5" t="s">
        <v>22</v>
      </c>
      <c r="E204" s="5" t="s">
        <v>122</v>
      </c>
      <c r="F204" s="5" t="s">
        <v>123</v>
      </c>
      <c r="G204" s="5" t="s">
        <v>42</v>
      </c>
      <c r="H204" s="2" t="s">
        <v>20</v>
      </c>
      <c r="I204" s="6">
        <v>210</v>
      </c>
    </row>
    <row r="205" spans="1:9" x14ac:dyDescent="0.3">
      <c r="A205" s="7" t="s">
        <v>341</v>
      </c>
      <c r="B205" s="8">
        <v>46117</v>
      </c>
      <c r="C205" s="9">
        <f t="shared" si="3"/>
        <v>46113</v>
      </c>
      <c r="D205" s="10" t="s">
        <v>47</v>
      </c>
      <c r="E205" s="10" t="s">
        <v>174</v>
      </c>
      <c r="F205" s="10" t="s">
        <v>175</v>
      </c>
      <c r="G205" s="10" t="s">
        <v>19</v>
      </c>
      <c r="H205" s="7" t="s">
        <v>14</v>
      </c>
      <c r="I205" s="11">
        <v>700</v>
      </c>
    </row>
    <row r="206" spans="1:9" x14ac:dyDescent="0.3">
      <c r="A206" s="2" t="s">
        <v>342</v>
      </c>
      <c r="B206" s="3">
        <v>46120</v>
      </c>
      <c r="C206" s="4">
        <f t="shared" si="3"/>
        <v>46113</v>
      </c>
      <c r="D206" s="5" t="s">
        <v>30</v>
      </c>
      <c r="E206" s="5" t="s">
        <v>127</v>
      </c>
      <c r="F206" s="5" t="s">
        <v>128</v>
      </c>
      <c r="G206" s="5" t="s">
        <v>19</v>
      </c>
      <c r="H206" s="2" t="s">
        <v>20</v>
      </c>
      <c r="I206" s="6">
        <v>1123</v>
      </c>
    </row>
    <row r="207" spans="1:9" x14ac:dyDescent="0.3">
      <c r="A207" s="7" t="s">
        <v>343</v>
      </c>
      <c r="B207" s="8">
        <v>46121</v>
      </c>
      <c r="C207" s="9">
        <f t="shared" si="3"/>
        <v>46113</v>
      </c>
      <c r="D207" s="10" t="s">
        <v>30</v>
      </c>
      <c r="E207" s="10" t="s">
        <v>106</v>
      </c>
      <c r="F207" s="10" t="s">
        <v>211</v>
      </c>
      <c r="G207" s="10" t="s">
        <v>36</v>
      </c>
      <c r="H207" s="7" t="s">
        <v>14</v>
      </c>
      <c r="I207" s="11">
        <v>376</v>
      </c>
    </row>
    <row r="208" spans="1:9" x14ac:dyDescent="0.3">
      <c r="A208" s="2" t="s">
        <v>344</v>
      </c>
      <c r="B208" s="3">
        <v>46122</v>
      </c>
      <c r="C208" s="4">
        <f t="shared" si="3"/>
        <v>46113</v>
      </c>
      <c r="D208" s="5" t="s">
        <v>22</v>
      </c>
      <c r="E208" s="5" t="s">
        <v>73</v>
      </c>
      <c r="F208" s="5" t="s">
        <v>162</v>
      </c>
      <c r="G208" s="5" t="s">
        <v>36</v>
      </c>
      <c r="H208" s="2" t="s">
        <v>14</v>
      </c>
      <c r="I208" s="6">
        <v>370</v>
      </c>
    </row>
    <row r="209" spans="1:9" x14ac:dyDescent="0.3">
      <c r="A209" s="7" t="s">
        <v>345</v>
      </c>
      <c r="B209" s="8">
        <v>46124</v>
      </c>
      <c r="C209" s="9">
        <f t="shared" si="3"/>
        <v>46113</v>
      </c>
      <c r="D209" s="10" t="s">
        <v>30</v>
      </c>
      <c r="E209" s="10" t="s">
        <v>106</v>
      </c>
      <c r="F209" s="10" t="s">
        <v>107</v>
      </c>
      <c r="G209" s="10" t="s">
        <v>19</v>
      </c>
      <c r="H209" s="7" t="s">
        <v>14</v>
      </c>
      <c r="I209" s="11">
        <v>803</v>
      </c>
    </row>
    <row r="210" spans="1:9" x14ac:dyDescent="0.3">
      <c r="A210" s="2" t="s">
        <v>346</v>
      </c>
      <c r="B210" s="3">
        <v>46125</v>
      </c>
      <c r="C210" s="4">
        <f t="shared" si="3"/>
        <v>46113</v>
      </c>
      <c r="D210" s="5" t="s">
        <v>26</v>
      </c>
      <c r="E210" s="5" t="s">
        <v>38</v>
      </c>
      <c r="F210" s="5" t="s">
        <v>55</v>
      </c>
      <c r="G210" s="5" t="s">
        <v>19</v>
      </c>
      <c r="H210" s="2" t="s">
        <v>14</v>
      </c>
      <c r="I210" s="6">
        <v>465</v>
      </c>
    </row>
    <row r="211" spans="1:9" x14ac:dyDescent="0.3">
      <c r="A211" s="7" t="s">
        <v>347</v>
      </c>
      <c r="B211" s="8">
        <v>46128</v>
      </c>
      <c r="C211" s="9">
        <f t="shared" si="3"/>
        <v>46113</v>
      </c>
      <c r="D211" s="10" t="s">
        <v>76</v>
      </c>
      <c r="E211" s="10" t="s">
        <v>103</v>
      </c>
      <c r="F211" s="10" t="s">
        <v>153</v>
      </c>
      <c r="G211" s="10" t="s">
        <v>36</v>
      </c>
      <c r="H211" s="7" t="s">
        <v>20</v>
      </c>
      <c r="I211" s="11">
        <v>221</v>
      </c>
    </row>
    <row r="212" spans="1:9" x14ac:dyDescent="0.3">
      <c r="A212" s="2" t="s">
        <v>348</v>
      </c>
      <c r="B212" s="3">
        <v>46128</v>
      </c>
      <c r="C212" s="4">
        <f t="shared" si="3"/>
        <v>46113</v>
      </c>
      <c r="D212" s="5" t="s">
        <v>26</v>
      </c>
      <c r="E212" s="5" t="s">
        <v>27</v>
      </c>
      <c r="F212" s="5" t="s">
        <v>28</v>
      </c>
      <c r="G212" s="5" t="s">
        <v>58</v>
      </c>
      <c r="H212" s="2" t="s">
        <v>20</v>
      </c>
      <c r="I212" s="6">
        <v>280</v>
      </c>
    </row>
    <row r="213" spans="1:9" x14ac:dyDescent="0.3">
      <c r="A213" s="7" t="s">
        <v>349</v>
      </c>
      <c r="B213" s="8">
        <v>46128</v>
      </c>
      <c r="C213" s="9">
        <f t="shared" si="3"/>
        <v>46113</v>
      </c>
      <c r="D213" s="10" t="s">
        <v>26</v>
      </c>
      <c r="E213" s="10" t="s">
        <v>38</v>
      </c>
      <c r="F213" s="10" t="s">
        <v>55</v>
      </c>
      <c r="G213" s="10" t="s">
        <v>19</v>
      </c>
      <c r="H213" s="7" t="s">
        <v>14</v>
      </c>
      <c r="I213" s="11">
        <v>550</v>
      </c>
    </row>
    <row r="214" spans="1:9" x14ac:dyDescent="0.3">
      <c r="A214" s="2" t="s">
        <v>350</v>
      </c>
      <c r="B214" s="3">
        <v>46129</v>
      </c>
      <c r="C214" s="4">
        <f t="shared" si="3"/>
        <v>46113</v>
      </c>
      <c r="D214" s="5" t="s">
        <v>51</v>
      </c>
      <c r="E214" s="5" t="s">
        <v>180</v>
      </c>
      <c r="F214" s="5" t="s">
        <v>232</v>
      </c>
      <c r="G214" s="5" t="s">
        <v>19</v>
      </c>
      <c r="H214" s="2" t="s">
        <v>14</v>
      </c>
      <c r="I214" s="6">
        <v>3497</v>
      </c>
    </row>
    <row r="215" spans="1:9" x14ac:dyDescent="0.3">
      <c r="A215" s="7" t="s">
        <v>351</v>
      </c>
      <c r="B215" s="8">
        <v>46129</v>
      </c>
      <c r="C215" s="9">
        <f t="shared" si="3"/>
        <v>46113</v>
      </c>
      <c r="D215" s="10" t="s">
        <v>22</v>
      </c>
      <c r="E215" s="10" t="s">
        <v>122</v>
      </c>
      <c r="F215" s="10" t="s">
        <v>272</v>
      </c>
      <c r="G215" s="10" t="s">
        <v>36</v>
      </c>
      <c r="H215" s="7" t="s">
        <v>20</v>
      </c>
      <c r="I215" s="11">
        <v>172</v>
      </c>
    </row>
    <row r="216" spans="1:9" x14ac:dyDescent="0.3">
      <c r="A216" s="2" t="s">
        <v>352</v>
      </c>
      <c r="B216" s="3">
        <v>46130</v>
      </c>
      <c r="C216" s="4">
        <f t="shared" si="3"/>
        <v>46113</v>
      </c>
      <c r="D216" s="5" t="s">
        <v>30</v>
      </c>
      <c r="E216" s="5" t="s">
        <v>127</v>
      </c>
      <c r="F216" s="5" t="s">
        <v>128</v>
      </c>
      <c r="G216" s="5" t="s">
        <v>42</v>
      </c>
      <c r="H216" s="2" t="s">
        <v>20</v>
      </c>
      <c r="I216" s="6">
        <v>1008</v>
      </c>
    </row>
    <row r="217" spans="1:9" x14ac:dyDescent="0.3">
      <c r="A217" s="7" t="s">
        <v>353</v>
      </c>
      <c r="B217" s="8">
        <v>46130</v>
      </c>
      <c r="C217" s="9">
        <f t="shared" si="3"/>
        <v>46113</v>
      </c>
      <c r="D217" s="10" t="s">
        <v>10</v>
      </c>
      <c r="E217" s="10" t="s">
        <v>34</v>
      </c>
      <c r="F217" s="10" t="s">
        <v>165</v>
      </c>
      <c r="G217" s="10" t="s">
        <v>19</v>
      </c>
      <c r="H217" s="7" t="s">
        <v>14</v>
      </c>
      <c r="I217" s="11">
        <v>468</v>
      </c>
    </row>
    <row r="218" spans="1:9" x14ac:dyDescent="0.3">
      <c r="A218" s="2" t="s">
        <v>354</v>
      </c>
      <c r="B218" s="3">
        <v>46130</v>
      </c>
      <c r="C218" s="4">
        <f t="shared" si="3"/>
        <v>46113</v>
      </c>
      <c r="D218" s="5" t="s">
        <v>10</v>
      </c>
      <c r="E218" s="5" t="s">
        <v>144</v>
      </c>
      <c r="F218" s="5" t="s">
        <v>281</v>
      </c>
      <c r="G218" s="5" t="s">
        <v>36</v>
      </c>
      <c r="H218" s="2" t="s">
        <v>20</v>
      </c>
      <c r="I218" s="6">
        <v>2305</v>
      </c>
    </row>
    <row r="219" spans="1:9" x14ac:dyDescent="0.3">
      <c r="A219" s="7" t="s">
        <v>355</v>
      </c>
      <c r="B219" s="8">
        <v>46132</v>
      </c>
      <c r="C219" s="9">
        <f t="shared" si="3"/>
        <v>46113</v>
      </c>
      <c r="D219" s="10" t="s">
        <v>51</v>
      </c>
      <c r="E219" s="10" t="s">
        <v>52</v>
      </c>
      <c r="F219" s="10" t="s">
        <v>195</v>
      </c>
      <c r="G219" s="10" t="s">
        <v>42</v>
      </c>
      <c r="H219" s="7" t="s">
        <v>14</v>
      </c>
      <c r="I219" s="11">
        <v>351</v>
      </c>
    </row>
    <row r="220" spans="1:9" x14ac:dyDescent="0.3">
      <c r="A220" s="2" t="s">
        <v>356</v>
      </c>
      <c r="B220" s="3">
        <v>46135</v>
      </c>
      <c r="C220" s="4">
        <f t="shared" si="3"/>
        <v>46113</v>
      </c>
      <c r="D220" s="5" t="s">
        <v>26</v>
      </c>
      <c r="E220" s="5" t="s">
        <v>67</v>
      </c>
      <c r="F220" s="5" t="s">
        <v>142</v>
      </c>
      <c r="G220" s="5" t="s">
        <v>19</v>
      </c>
      <c r="H220" s="2" t="s">
        <v>20</v>
      </c>
      <c r="I220" s="6">
        <v>534</v>
      </c>
    </row>
    <row r="221" spans="1:9" x14ac:dyDescent="0.3">
      <c r="A221" s="7" t="s">
        <v>357</v>
      </c>
      <c r="B221" s="8">
        <v>46135</v>
      </c>
      <c r="C221" s="9">
        <f t="shared" si="3"/>
        <v>46113</v>
      </c>
      <c r="D221" s="10" t="s">
        <v>16</v>
      </c>
      <c r="E221" s="10" t="s">
        <v>138</v>
      </c>
      <c r="F221" s="10" t="s">
        <v>139</v>
      </c>
      <c r="G221" s="10" t="s">
        <v>58</v>
      </c>
      <c r="H221" s="7" t="s">
        <v>20</v>
      </c>
      <c r="I221" s="11">
        <v>6085</v>
      </c>
    </row>
    <row r="222" spans="1:9" x14ac:dyDescent="0.3">
      <c r="A222" s="2" t="s">
        <v>358</v>
      </c>
      <c r="B222" s="3">
        <v>46135</v>
      </c>
      <c r="C222" s="4">
        <f t="shared" si="3"/>
        <v>46113</v>
      </c>
      <c r="D222" s="5" t="s">
        <v>22</v>
      </c>
      <c r="E222" s="5" t="s">
        <v>23</v>
      </c>
      <c r="F222" s="5" t="s">
        <v>24</v>
      </c>
      <c r="G222" s="5" t="s">
        <v>58</v>
      </c>
      <c r="H222" s="2" t="s">
        <v>14</v>
      </c>
      <c r="I222" s="6">
        <v>74</v>
      </c>
    </row>
    <row r="223" spans="1:9" x14ac:dyDescent="0.3">
      <c r="A223" s="7" t="s">
        <v>359</v>
      </c>
      <c r="B223" s="8">
        <v>46137</v>
      </c>
      <c r="C223" s="9">
        <f t="shared" si="3"/>
        <v>46113</v>
      </c>
      <c r="D223" s="10" t="s">
        <v>26</v>
      </c>
      <c r="E223" s="10" t="s">
        <v>80</v>
      </c>
      <c r="F223" s="10" t="s">
        <v>83</v>
      </c>
      <c r="G223" s="10" t="s">
        <v>58</v>
      </c>
      <c r="H223" s="7" t="s">
        <v>20</v>
      </c>
      <c r="I223" s="11">
        <v>1389</v>
      </c>
    </row>
    <row r="224" spans="1:9" x14ac:dyDescent="0.3">
      <c r="A224" s="2" t="s">
        <v>360</v>
      </c>
      <c r="B224" s="3">
        <v>46137</v>
      </c>
      <c r="C224" s="4">
        <f t="shared" si="3"/>
        <v>46113</v>
      </c>
      <c r="D224" s="5" t="s">
        <v>10</v>
      </c>
      <c r="E224" s="5" t="s">
        <v>87</v>
      </c>
      <c r="F224" s="5" t="s">
        <v>119</v>
      </c>
      <c r="G224" s="5" t="s">
        <v>19</v>
      </c>
      <c r="H224" s="2" t="s">
        <v>14</v>
      </c>
      <c r="I224" s="6">
        <v>1868</v>
      </c>
    </row>
    <row r="225" spans="1:9" x14ac:dyDescent="0.3">
      <c r="A225" s="7" t="s">
        <v>361</v>
      </c>
      <c r="B225" s="8">
        <v>46138</v>
      </c>
      <c r="C225" s="9">
        <f t="shared" si="3"/>
        <v>46113</v>
      </c>
      <c r="D225" s="10" t="s">
        <v>26</v>
      </c>
      <c r="E225" s="10" t="s">
        <v>27</v>
      </c>
      <c r="F225" s="10" t="s">
        <v>241</v>
      </c>
      <c r="G225" s="10" t="s">
        <v>19</v>
      </c>
      <c r="H225" s="7" t="s">
        <v>20</v>
      </c>
      <c r="I225" s="11">
        <v>134</v>
      </c>
    </row>
    <row r="226" spans="1:9" x14ac:dyDescent="0.3">
      <c r="A226" s="2" t="s">
        <v>362</v>
      </c>
      <c r="B226" s="3">
        <v>46139</v>
      </c>
      <c r="C226" s="4">
        <f t="shared" si="3"/>
        <v>46113</v>
      </c>
      <c r="D226" s="5" t="s">
        <v>51</v>
      </c>
      <c r="E226" s="5" t="s">
        <v>180</v>
      </c>
      <c r="F226" s="5" t="s">
        <v>232</v>
      </c>
      <c r="G226" s="5" t="s">
        <v>19</v>
      </c>
      <c r="H226" s="2" t="s">
        <v>14</v>
      </c>
      <c r="I226" s="6">
        <v>1950</v>
      </c>
    </row>
    <row r="227" spans="1:9" x14ac:dyDescent="0.3">
      <c r="A227" s="7" t="s">
        <v>363</v>
      </c>
      <c r="B227" s="8">
        <v>46139</v>
      </c>
      <c r="C227" s="9">
        <f t="shared" si="3"/>
        <v>46113</v>
      </c>
      <c r="D227" s="10" t="s">
        <v>22</v>
      </c>
      <c r="E227" s="10" t="s">
        <v>122</v>
      </c>
      <c r="F227" s="10" t="s">
        <v>293</v>
      </c>
      <c r="G227" s="10" t="s">
        <v>19</v>
      </c>
      <c r="H227" s="7" t="s">
        <v>20</v>
      </c>
      <c r="I227" s="11">
        <v>378</v>
      </c>
    </row>
    <row r="228" spans="1:9" x14ac:dyDescent="0.3">
      <c r="A228" s="2" t="s">
        <v>364</v>
      </c>
      <c r="B228" s="3">
        <v>46140</v>
      </c>
      <c r="C228" s="4">
        <f t="shared" si="3"/>
        <v>46113</v>
      </c>
      <c r="D228" s="5" t="s">
        <v>76</v>
      </c>
      <c r="E228" s="5" t="s">
        <v>77</v>
      </c>
      <c r="F228" s="5" t="s">
        <v>365</v>
      </c>
      <c r="G228" s="5" t="s">
        <v>58</v>
      </c>
      <c r="H228" s="2" t="s">
        <v>20</v>
      </c>
      <c r="I228" s="6">
        <v>902</v>
      </c>
    </row>
    <row r="229" spans="1:9" x14ac:dyDescent="0.3">
      <c r="A229" s="7" t="s">
        <v>366</v>
      </c>
      <c r="B229" s="8">
        <v>46141</v>
      </c>
      <c r="C229" s="9">
        <f t="shared" si="3"/>
        <v>46113</v>
      </c>
      <c r="D229" s="10" t="s">
        <v>26</v>
      </c>
      <c r="E229" s="10" t="s">
        <v>27</v>
      </c>
      <c r="F229" s="10" t="s">
        <v>62</v>
      </c>
      <c r="G229" s="10" t="s">
        <v>58</v>
      </c>
      <c r="H229" s="7" t="s">
        <v>20</v>
      </c>
      <c r="I229" s="11">
        <v>442</v>
      </c>
    </row>
    <row r="230" spans="1:9" x14ac:dyDescent="0.3">
      <c r="A230" s="2" t="s">
        <v>367</v>
      </c>
      <c r="B230" s="3">
        <v>46142</v>
      </c>
      <c r="C230" s="4">
        <f t="shared" si="3"/>
        <v>46113</v>
      </c>
      <c r="D230" s="5" t="s">
        <v>30</v>
      </c>
      <c r="E230" s="5" t="s">
        <v>31</v>
      </c>
      <c r="F230" s="5" t="s">
        <v>136</v>
      </c>
      <c r="G230" s="5" t="s">
        <v>19</v>
      </c>
      <c r="H230" s="2" t="s">
        <v>14</v>
      </c>
      <c r="I230" s="6">
        <v>817</v>
      </c>
    </row>
    <row r="231" spans="1:9" x14ac:dyDescent="0.3">
      <c r="A231" s="7" t="s">
        <v>368</v>
      </c>
      <c r="B231" s="8">
        <v>46142</v>
      </c>
      <c r="C231" s="9">
        <f t="shared" si="3"/>
        <v>46113</v>
      </c>
      <c r="D231" s="10" t="s">
        <v>16</v>
      </c>
      <c r="E231" s="10" t="s">
        <v>64</v>
      </c>
      <c r="F231" s="10" t="s">
        <v>65</v>
      </c>
      <c r="G231" s="10" t="s">
        <v>19</v>
      </c>
      <c r="H231" s="7" t="s">
        <v>20</v>
      </c>
      <c r="I231" s="11">
        <v>740</v>
      </c>
    </row>
    <row r="232" spans="1:9" x14ac:dyDescent="0.3">
      <c r="A232" s="2" t="s">
        <v>369</v>
      </c>
      <c r="B232" s="3">
        <v>46143</v>
      </c>
      <c r="C232" s="4">
        <f t="shared" si="3"/>
        <v>46143</v>
      </c>
      <c r="D232" s="5" t="s">
        <v>26</v>
      </c>
      <c r="E232" s="5" t="s">
        <v>38</v>
      </c>
      <c r="F232" s="5" t="s">
        <v>151</v>
      </c>
      <c r="G232" s="5" t="s">
        <v>19</v>
      </c>
      <c r="H232" s="2" t="s">
        <v>14</v>
      </c>
      <c r="I232" s="6">
        <v>1136</v>
      </c>
    </row>
    <row r="233" spans="1:9" x14ac:dyDescent="0.3">
      <c r="A233" s="7" t="s">
        <v>370</v>
      </c>
      <c r="B233" s="8">
        <v>46143</v>
      </c>
      <c r="C233" s="9">
        <f t="shared" si="3"/>
        <v>46143</v>
      </c>
      <c r="D233" s="10" t="s">
        <v>30</v>
      </c>
      <c r="E233" s="10" t="s">
        <v>116</v>
      </c>
      <c r="F233" s="10" t="s">
        <v>371</v>
      </c>
      <c r="G233" s="10" t="s">
        <v>19</v>
      </c>
      <c r="H233" s="7" t="s">
        <v>14</v>
      </c>
      <c r="I233" s="11">
        <v>744</v>
      </c>
    </row>
    <row r="234" spans="1:9" x14ac:dyDescent="0.3">
      <c r="A234" s="2" t="s">
        <v>372</v>
      </c>
      <c r="B234" s="3">
        <v>46145</v>
      </c>
      <c r="C234" s="4">
        <f t="shared" si="3"/>
        <v>46143</v>
      </c>
      <c r="D234" s="5" t="s">
        <v>47</v>
      </c>
      <c r="E234" s="5" t="s">
        <v>174</v>
      </c>
      <c r="F234" s="5" t="s">
        <v>335</v>
      </c>
      <c r="G234" s="5" t="s">
        <v>19</v>
      </c>
      <c r="H234" s="2" t="s">
        <v>14</v>
      </c>
      <c r="I234" s="6">
        <v>588</v>
      </c>
    </row>
    <row r="235" spans="1:9" x14ac:dyDescent="0.3">
      <c r="A235" s="7" t="s">
        <v>373</v>
      </c>
      <c r="B235" s="8">
        <v>46146</v>
      </c>
      <c r="C235" s="9">
        <f t="shared" si="3"/>
        <v>46143</v>
      </c>
      <c r="D235" s="10" t="s">
        <v>26</v>
      </c>
      <c r="E235" s="10" t="s">
        <v>67</v>
      </c>
      <c r="F235" s="10" t="s">
        <v>192</v>
      </c>
      <c r="G235" s="10" t="s">
        <v>36</v>
      </c>
      <c r="H235" s="7" t="s">
        <v>20</v>
      </c>
      <c r="I235" s="11">
        <v>685</v>
      </c>
    </row>
    <row r="236" spans="1:9" x14ac:dyDescent="0.3">
      <c r="A236" s="2" t="s">
        <v>374</v>
      </c>
      <c r="B236" s="3">
        <v>46147</v>
      </c>
      <c r="C236" s="4">
        <f t="shared" si="3"/>
        <v>46143</v>
      </c>
      <c r="D236" s="5" t="s">
        <v>26</v>
      </c>
      <c r="E236" s="5" t="s">
        <v>67</v>
      </c>
      <c r="F236" s="5" t="s">
        <v>68</v>
      </c>
      <c r="G236" s="5" t="s">
        <v>19</v>
      </c>
      <c r="H236" s="2" t="s">
        <v>20</v>
      </c>
      <c r="I236" s="6">
        <v>350</v>
      </c>
    </row>
    <row r="237" spans="1:9" x14ac:dyDescent="0.3">
      <c r="A237" s="7" t="s">
        <v>375</v>
      </c>
      <c r="B237" s="8">
        <v>46147</v>
      </c>
      <c r="C237" s="9">
        <f t="shared" si="3"/>
        <v>46143</v>
      </c>
      <c r="D237" s="10" t="s">
        <v>26</v>
      </c>
      <c r="E237" s="10" t="s">
        <v>80</v>
      </c>
      <c r="F237" s="10" t="s">
        <v>93</v>
      </c>
      <c r="G237" s="10" t="s">
        <v>58</v>
      </c>
      <c r="H237" s="7" t="s">
        <v>20</v>
      </c>
      <c r="I237" s="11">
        <v>843</v>
      </c>
    </row>
    <row r="238" spans="1:9" x14ac:dyDescent="0.3">
      <c r="A238" s="2" t="s">
        <v>376</v>
      </c>
      <c r="B238" s="3">
        <v>46147</v>
      </c>
      <c r="C238" s="4">
        <f t="shared" si="3"/>
        <v>46143</v>
      </c>
      <c r="D238" s="5" t="s">
        <v>10</v>
      </c>
      <c r="E238" s="5" t="s">
        <v>11</v>
      </c>
      <c r="F238" s="5" t="s">
        <v>12</v>
      </c>
      <c r="G238" s="5" t="s">
        <v>13</v>
      </c>
      <c r="H238" s="2" t="s">
        <v>14</v>
      </c>
      <c r="I238" s="6">
        <v>8500</v>
      </c>
    </row>
    <row r="239" spans="1:9" x14ac:dyDescent="0.3">
      <c r="A239" s="7" t="s">
        <v>377</v>
      </c>
      <c r="B239" s="8">
        <v>46148</v>
      </c>
      <c r="C239" s="9">
        <f t="shared" si="3"/>
        <v>46143</v>
      </c>
      <c r="D239" s="10" t="s">
        <v>26</v>
      </c>
      <c r="E239" s="10" t="s">
        <v>80</v>
      </c>
      <c r="F239" s="10" t="s">
        <v>83</v>
      </c>
      <c r="G239" s="10" t="s">
        <v>36</v>
      </c>
      <c r="H239" s="7" t="s">
        <v>20</v>
      </c>
      <c r="I239" s="11">
        <v>668</v>
      </c>
    </row>
    <row r="240" spans="1:9" x14ac:dyDescent="0.3">
      <c r="A240" s="2" t="s">
        <v>378</v>
      </c>
      <c r="B240" s="3">
        <v>46150</v>
      </c>
      <c r="C240" s="4">
        <f t="shared" si="3"/>
        <v>46143</v>
      </c>
      <c r="D240" s="5" t="s">
        <v>76</v>
      </c>
      <c r="E240" s="5" t="s">
        <v>103</v>
      </c>
      <c r="F240" s="5" t="s">
        <v>379</v>
      </c>
      <c r="G240" s="5" t="s">
        <v>19</v>
      </c>
      <c r="H240" s="2" t="s">
        <v>20</v>
      </c>
      <c r="I240" s="6">
        <v>702</v>
      </c>
    </row>
    <row r="241" spans="1:9" x14ac:dyDescent="0.3">
      <c r="A241" s="7" t="s">
        <v>380</v>
      </c>
      <c r="B241" s="8">
        <v>46150</v>
      </c>
      <c r="C241" s="9">
        <f t="shared" si="3"/>
        <v>46143</v>
      </c>
      <c r="D241" s="10" t="s">
        <v>26</v>
      </c>
      <c r="E241" s="10" t="s">
        <v>27</v>
      </c>
      <c r="F241" s="10" t="s">
        <v>62</v>
      </c>
      <c r="G241" s="10" t="s">
        <v>19</v>
      </c>
      <c r="H241" s="7" t="s">
        <v>20</v>
      </c>
      <c r="I241" s="11">
        <v>134</v>
      </c>
    </row>
    <row r="242" spans="1:9" x14ac:dyDescent="0.3">
      <c r="A242" s="2" t="s">
        <v>381</v>
      </c>
      <c r="B242" s="3">
        <v>46150</v>
      </c>
      <c r="C242" s="4">
        <f t="shared" si="3"/>
        <v>46143</v>
      </c>
      <c r="D242" s="5" t="s">
        <v>22</v>
      </c>
      <c r="E242" s="5" t="s">
        <v>70</v>
      </c>
      <c r="F242" s="5" t="s">
        <v>71</v>
      </c>
      <c r="G242" s="5" t="s">
        <v>19</v>
      </c>
      <c r="H242" s="2" t="s">
        <v>20</v>
      </c>
      <c r="I242" s="6">
        <v>3194</v>
      </c>
    </row>
    <row r="243" spans="1:9" x14ac:dyDescent="0.3">
      <c r="A243" s="7" t="s">
        <v>382</v>
      </c>
      <c r="B243" s="8">
        <v>46151</v>
      </c>
      <c r="C243" s="9">
        <f t="shared" si="3"/>
        <v>46143</v>
      </c>
      <c r="D243" s="10" t="s">
        <v>16</v>
      </c>
      <c r="E243" s="10" t="s">
        <v>64</v>
      </c>
      <c r="F243" s="10" t="s">
        <v>157</v>
      </c>
      <c r="G243" s="10" t="s">
        <v>58</v>
      </c>
      <c r="H243" s="7" t="s">
        <v>20</v>
      </c>
      <c r="I243" s="11">
        <v>1063</v>
      </c>
    </row>
    <row r="244" spans="1:9" x14ac:dyDescent="0.3">
      <c r="A244" s="2" t="s">
        <v>383</v>
      </c>
      <c r="B244" s="3">
        <v>46151</v>
      </c>
      <c r="C244" s="4">
        <f t="shared" si="3"/>
        <v>46143</v>
      </c>
      <c r="D244" s="5" t="s">
        <v>16</v>
      </c>
      <c r="E244" s="5" t="s">
        <v>17</v>
      </c>
      <c r="F244" s="5" t="s">
        <v>295</v>
      </c>
      <c r="G244" s="5" t="s">
        <v>19</v>
      </c>
      <c r="H244" s="2" t="s">
        <v>20</v>
      </c>
      <c r="I244" s="6">
        <v>2650</v>
      </c>
    </row>
    <row r="245" spans="1:9" x14ac:dyDescent="0.3">
      <c r="A245" s="7" t="s">
        <v>384</v>
      </c>
      <c r="B245" s="8">
        <v>46151</v>
      </c>
      <c r="C245" s="9">
        <f t="shared" si="3"/>
        <v>46143</v>
      </c>
      <c r="D245" s="10" t="s">
        <v>22</v>
      </c>
      <c r="E245" s="10" t="s">
        <v>122</v>
      </c>
      <c r="F245" s="10" t="s">
        <v>293</v>
      </c>
      <c r="G245" s="10" t="s">
        <v>58</v>
      </c>
      <c r="H245" s="7" t="s">
        <v>20</v>
      </c>
      <c r="I245" s="11">
        <v>177</v>
      </c>
    </row>
    <row r="246" spans="1:9" x14ac:dyDescent="0.3">
      <c r="A246" s="2" t="s">
        <v>385</v>
      </c>
      <c r="B246" s="3">
        <v>46153</v>
      </c>
      <c r="C246" s="4">
        <f t="shared" si="3"/>
        <v>46143</v>
      </c>
      <c r="D246" s="5" t="s">
        <v>47</v>
      </c>
      <c r="E246" s="5" t="s">
        <v>174</v>
      </c>
      <c r="F246" s="5" t="s">
        <v>335</v>
      </c>
      <c r="G246" s="5" t="s">
        <v>58</v>
      </c>
      <c r="H246" s="2" t="s">
        <v>14</v>
      </c>
      <c r="I246" s="6">
        <v>680</v>
      </c>
    </row>
    <row r="247" spans="1:9" x14ac:dyDescent="0.3">
      <c r="A247" s="7" t="s">
        <v>386</v>
      </c>
      <c r="B247" s="8">
        <v>46154</v>
      </c>
      <c r="C247" s="9">
        <f t="shared" si="3"/>
        <v>46143</v>
      </c>
      <c r="D247" s="10" t="s">
        <v>22</v>
      </c>
      <c r="E247" s="10" t="s">
        <v>23</v>
      </c>
      <c r="F247" s="10" t="s">
        <v>160</v>
      </c>
      <c r="G247" s="10" t="s">
        <v>42</v>
      </c>
      <c r="H247" s="7" t="s">
        <v>14</v>
      </c>
      <c r="I247" s="11">
        <v>72</v>
      </c>
    </row>
    <row r="248" spans="1:9" x14ac:dyDescent="0.3">
      <c r="A248" s="2" t="s">
        <v>387</v>
      </c>
      <c r="B248" s="3">
        <v>46154</v>
      </c>
      <c r="C248" s="4">
        <f t="shared" si="3"/>
        <v>46143</v>
      </c>
      <c r="D248" s="5" t="s">
        <v>22</v>
      </c>
      <c r="E248" s="5" t="s">
        <v>70</v>
      </c>
      <c r="F248" s="5" t="s">
        <v>260</v>
      </c>
      <c r="G248" s="5" t="s">
        <v>36</v>
      </c>
      <c r="H248" s="2" t="s">
        <v>20</v>
      </c>
      <c r="I248" s="6">
        <v>2931</v>
      </c>
    </row>
    <row r="249" spans="1:9" x14ac:dyDescent="0.3">
      <c r="A249" s="7" t="s">
        <v>388</v>
      </c>
      <c r="B249" s="8">
        <v>46159</v>
      </c>
      <c r="C249" s="9">
        <f t="shared" si="3"/>
        <v>46143</v>
      </c>
      <c r="D249" s="10" t="s">
        <v>26</v>
      </c>
      <c r="E249" s="10" t="s">
        <v>80</v>
      </c>
      <c r="F249" s="10" t="s">
        <v>83</v>
      </c>
      <c r="G249" s="10" t="s">
        <v>19</v>
      </c>
      <c r="H249" s="7" t="s">
        <v>20</v>
      </c>
      <c r="I249" s="11">
        <v>507</v>
      </c>
    </row>
    <row r="250" spans="1:9" x14ac:dyDescent="0.3">
      <c r="A250" s="2" t="s">
        <v>389</v>
      </c>
      <c r="B250" s="3">
        <v>46160</v>
      </c>
      <c r="C250" s="4">
        <f t="shared" si="3"/>
        <v>46143</v>
      </c>
      <c r="D250" s="5" t="s">
        <v>76</v>
      </c>
      <c r="E250" s="5" t="s">
        <v>97</v>
      </c>
      <c r="F250" s="5" t="s">
        <v>113</v>
      </c>
      <c r="G250" s="5" t="s">
        <v>19</v>
      </c>
      <c r="H250" s="2" t="s">
        <v>20</v>
      </c>
      <c r="I250" s="6">
        <v>236</v>
      </c>
    </row>
    <row r="251" spans="1:9" x14ac:dyDescent="0.3">
      <c r="A251" s="7" t="s">
        <v>390</v>
      </c>
      <c r="B251" s="8">
        <v>46160</v>
      </c>
      <c r="C251" s="9">
        <f t="shared" si="3"/>
        <v>46143</v>
      </c>
      <c r="D251" s="10" t="s">
        <v>22</v>
      </c>
      <c r="E251" s="10" t="s">
        <v>70</v>
      </c>
      <c r="F251" s="10" t="s">
        <v>197</v>
      </c>
      <c r="G251" s="10" t="s">
        <v>36</v>
      </c>
      <c r="H251" s="7" t="s">
        <v>20</v>
      </c>
      <c r="I251" s="11">
        <v>6014</v>
      </c>
    </row>
    <row r="252" spans="1:9" x14ac:dyDescent="0.3">
      <c r="A252" s="2" t="s">
        <v>391</v>
      </c>
      <c r="B252" s="3">
        <v>46162</v>
      </c>
      <c r="C252" s="4">
        <f t="shared" si="3"/>
        <v>46143</v>
      </c>
      <c r="D252" s="5" t="s">
        <v>51</v>
      </c>
      <c r="E252" s="5" t="s">
        <v>133</v>
      </c>
      <c r="F252" s="5" t="s">
        <v>134</v>
      </c>
      <c r="G252" s="5" t="s">
        <v>19</v>
      </c>
      <c r="H252" s="2" t="s">
        <v>14</v>
      </c>
      <c r="I252" s="6">
        <v>381</v>
      </c>
    </row>
    <row r="253" spans="1:9" x14ac:dyDescent="0.3">
      <c r="A253" s="7" t="s">
        <v>392</v>
      </c>
      <c r="B253" s="8">
        <v>46162</v>
      </c>
      <c r="C253" s="9">
        <f t="shared" si="3"/>
        <v>46143</v>
      </c>
      <c r="D253" s="10" t="s">
        <v>16</v>
      </c>
      <c r="E253" s="10" t="s">
        <v>64</v>
      </c>
      <c r="F253" s="10" t="s">
        <v>65</v>
      </c>
      <c r="G253" s="10" t="s">
        <v>19</v>
      </c>
      <c r="H253" s="7" t="s">
        <v>20</v>
      </c>
      <c r="I253" s="11">
        <v>1059</v>
      </c>
    </row>
    <row r="254" spans="1:9" x14ac:dyDescent="0.3">
      <c r="A254" s="2" t="s">
        <v>393</v>
      </c>
      <c r="B254" s="3">
        <v>46163</v>
      </c>
      <c r="C254" s="4">
        <f t="shared" si="3"/>
        <v>46143</v>
      </c>
      <c r="D254" s="5" t="s">
        <v>26</v>
      </c>
      <c r="E254" s="5" t="s">
        <v>27</v>
      </c>
      <c r="F254" s="5" t="s">
        <v>28</v>
      </c>
      <c r="G254" s="5" t="s">
        <v>19</v>
      </c>
      <c r="H254" s="2" t="s">
        <v>20</v>
      </c>
      <c r="I254" s="6">
        <v>202</v>
      </c>
    </row>
    <row r="255" spans="1:9" x14ac:dyDescent="0.3">
      <c r="A255" s="7" t="s">
        <v>394</v>
      </c>
      <c r="B255" s="8">
        <v>46164</v>
      </c>
      <c r="C255" s="9">
        <f t="shared" si="3"/>
        <v>46143</v>
      </c>
      <c r="D255" s="10" t="s">
        <v>51</v>
      </c>
      <c r="E255" s="10" t="s">
        <v>180</v>
      </c>
      <c r="F255" s="10" t="s">
        <v>232</v>
      </c>
      <c r="G255" s="10" t="s">
        <v>58</v>
      </c>
      <c r="H255" s="7" t="s">
        <v>14</v>
      </c>
      <c r="I255" s="11">
        <v>2417</v>
      </c>
    </row>
    <row r="256" spans="1:9" x14ac:dyDescent="0.3">
      <c r="A256" s="2" t="s">
        <v>395</v>
      </c>
      <c r="B256" s="3">
        <v>46164</v>
      </c>
      <c r="C256" s="4">
        <f t="shared" si="3"/>
        <v>46143</v>
      </c>
      <c r="D256" s="5" t="s">
        <v>30</v>
      </c>
      <c r="E256" s="5" t="s">
        <v>106</v>
      </c>
      <c r="F256" s="5" t="s">
        <v>107</v>
      </c>
      <c r="G256" s="5" t="s">
        <v>19</v>
      </c>
      <c r="H256" s="2" t="s">
        <v>14</v>
      </c>
      <c r="I256" s="6">
        <v>1173</v>
      </c>
    </row>
    <row r="257" spans="1:9" x14ac:dyDescent="0.3">
      <c r="A257" s="7" t="s">
        <v>396</v>
      </c>
      <c r="B257" s="8">
        <v>46165</v>
      </c>
      <c r="C257" s="9">
        <f t="shared" si="3"/>
        <v>46143</v>
      </c>
      <c r="D257" s="10" t="s">
        <v>16</v>
      </c>
      <c r="E257" s="10" t="s">
        <v>17</v>
      </c>
      <c r="F257" s="10" t="s">
        <v>295</v>
      </c>
      <c r="G257" s="10" t="s">
        <v>36</v>
      </c>
      <c r="H257" s="7" t="s">
        <v>20</v>
      </c>
      <c r="I257" s="11">
        <v>1823</v>
      </c>
    </row>
    <row r="258" spans="1:9" x14ac:dyDescent="0.3">
      <c r="A258" s="2" t="s">
        <v>397</v>
      </c>
      <c r="B258" s="3">
        <v>46167</v>
      </c>
      <c r="C258" s="4">
        <f t="shared" ref="C258:C321" si="4">DATE(YEAR(B258),MONTH(B258),1)</f>
        <v>46143</v>
      </c>
      <c r="D258" s="5" t="s">
        <v>51</v>
      </c>
      <c r="E258" s="5" t="s">
        <v>205</v>
      </c>
      <c r="F258" s="5" t="s">
        <v>275</v>
      </c>
      <c r="G258" s="5" t="s">
        <v>19</v>
      </c>
      <c r="H258" s="2" t="s">
        <v>20</v>
      </c>
      <c r="I258" s="6">
        <v>284</v>
      </c>
    </row>
    <row r="259" spans="1:9" x14ac:dyDescent="0.3">
      <c r="A259" s="7" t="s">
        <v>398</v>
      </c>
      <c r="B259" s="8">
        <v>46168</v>
      </c>
      <c r="C259" s="9">
        <f t="shared" si="4"/>
        <v>46143</v>
      </c>
      <c r="D259" s="10" t="s">
        <v>22</v>
      </c>
      <c r="E259" s="10" t="s">
        <v>122</v>
      </c>
      <c r="F259" s="10" t="s">
        <v>272</v>
      </c>
      <c r="G259" s="10" t="s">
        <v>19</v>
      </c>
      <c r="H259" s="7" t="s">
        <v>20</v>
      </c>
      <c r="I259" s="11">
        <v>137</v>
      </c>
    </row>
    <row r="260" spans="1:9" x14ac:dyDescent="0.3">
      <c r="A260" s="2" t="s">
        <v>399</v>
      </c>
      <c r="B260" s="3">
        <v>46170</v>
      </c>
      <c r="C260" s="4">
        <f t="shared" si="4"/>
        <v>46143</v>
      </c>
      <c r="D260" s="5" t="s">
        <v>26</v>
      </c>
      <c r="E260" s="5" t="s">
        <v>67</v>
      </c>
      <c r="F260" s="5" t="s">
        <v>208</v>
      </c>
      <c r="G260" s="5" t="s">
        <v>58</v>
      </c>
      <c r="H260" s="2" t="s">
        <v>20</v>
      </c>
      <c r="I260" s="6">
        <v>270</v>
      </c>
    </row>
    <row r="261" spans="1:9" x14ac:dyDescent="0.3">
      <c r="A261" s="7" t="s">
        <v>400</v>
      </c>
      <c r="B261" s="8">
        <v>46171</v>
      </c>
      <c r="C261" s="9">
        <f t="shared" si="4"/>
        <v>46143</v>
      </c>
      <c r="D261" s="10" t="s">
        <v>16</v>
      </c>
      <c r="E261" s="10" t="s">
        <v>138</v>
      </c>
      <c r="F261" s="10" t="s">
        <v>254</v>
      </c>
      <c r="G261" s="10" t="s">
        <v>36</v>
      </c>
      <c r="H261" s="7" t="s">
        <v>20</v>
      </c>
      <c r="I261" s="11">
        <v>6428</v>
      </c>
    </row>
    <row r="262" spans="1:9" x14ac:dyDescent="0.3">
      <c r="A262" s="2" t="s">
        <v>401</v>
      </c>
      <c r="B262" s="3">
        <v>46172</v>
      </c>
      <c r="C262" s="4">
        <f t="shared" si="4"/>
        <v>46143</v>
      </c>
      <c r="D262" s="5" t="s">
        <v>26</v>
      </c>
      <c r="E262" s="5" t="s">
        <v>80</v>
      </c>
      <c r="F262" s="5" t="s">
        <v>81</v>
      </c>
      <c r="G262" s="5" t="s">
        <v>58</v>
      </c>
      <c r="H262" s="2" t="s">
        <v>20</v>
      </c>
      <c r="I262" s="6">
        <v>1386</v>
      </c>
    </row>
    <row r="263" spans="1:9" x14ac:dyDescent="0.3">
      <c r="A263" s="7" t="s">
        <v>402</v>
      </c>
      <c r="B263" s="8">
        <v>46172</v>
      </c>
      <c r="C263" s="9">
        <f t="shared" si="4"/>
        <v>46143</v>
      </c>
      <c r="D263" s="10" t="s">
        <v>16</v>
      </c>
      <c r="E263" s="10" t="s">
        <v>17</v>
      </c>
      <c r="F263" s="10" t="s">
        <v>18</v>
      </c>
      <c r="G263" s="10" t="s">
        <v>58</v>
      </c>
      <c r="H263" s="7" t="s">
        <v>20</v>
      </c>
      <c r="I263" s="11">
        <v>1155</v>
      </c>
    </row>
    <row r="264" spans="1:9" x14ac:dyDescent="0.3">
      <c r="A264" s="2" t="s">
        <v>403</v>
      </c>
      <c r="B264" s="3">
        <v>46173</v>
      </c>
      <c r="C264" s="4">
        <f t="shared" si="4"/>
        <v>46143</v>
      </c>
      <c r="D264" s="5" t="s">
        <v>26</v>
      </c>
      <c r="E264" s="5" t="s">
        <v>80</v>
      </c>
      <c r="F264" s="5" t="s">
        <v>100</v>
      </c>
      <c r="G264" s="5" t="s">
        <v>19</v>
      </c>
      <c r="H264" s="2" t="s">
        <v>20</v>
      </c>
      <c r="I264" s="6">
        <v>1326</v>
      </c>
    </row>
    <row r="265" spans="1:9" x14ac:dyDescent="0.3">
      <c r="A265" s="7" t="s">
        <v>404</v>
      </c>
      <c r="B265" s="8">
        <v>46173</v>
      </c>
      <c r="C265" s="9">
        <f t="shared" si="4"/>
        <v>46143</v>
      </c>
      <c r="D265" s="10" t="s">
        <v>30</v>
      </c>
      <c r="E265" s="10" t="s">
        <v>106</v>
      </c>
      <c r="F265" s="10" t="s">
        <v>307</v>
      </c>
      <c r="G265" s="10" t="s">
        <v>36</v>
      </c>
      <c r="H265" s="7" t="s">
        <v>14</v>
      </c>
      <c r="I265" s="11">
        <v>947</v>
      </c>
    </row>
    <row r="266" spans="1:9" x14ac:dyDescent="0.3">
      <c r="A266" s="2" t="s">
        <v>405</v>
      </c>
      <c r="B266" s="3">
        <v>46177</v>
      </c>
      <c r="C266" s="4">
        <f t="shared" si="4"/>
        <v>46174</v>
      </c>
      <c r="D266" s="5" t="s">
        <v>26</v>
      </c>
      <c r="E266" s="5" t="s">
        <v>80</v>
      </c>
      <c r="F266" s="5" t="s">
        <v>81</v>
      </c>
      <c r="G266" s="5" t="s">
        <v>19</v>
      </c>
      <c r="H266" s="2" t="s">
        <v>20</v>
      </c>
      <c r="I266" s="6">
        <v>591</v>
      </c>
    </row>
    <row r="267" spans="1:9" x14ac:dyDescent="0.3">
      <c r="A267" s="7" t="s">
        <v>406</v>
      </c>
      <c r="B267" s="8">
        <v>46177</v>
      </c>
      <c r="C267" s="9">
        <f t="shared" si="4"/>
        <v>46174</v>
      </c>
      <c r="D267" s="10" t="s">
        <v>10</v>
      </c>
      <c r="E267" s="10" t="s">
        <v>34</v>
      </c>
      <c r="F267" s="10" t="s">
        <v>35</v>
      </c>
      <c r="G267" s="10" t="s">
        <v>19</v>
      </c>
      <c r="H267" s="7" t="s">
        <v>14</v>
      </c>
      <c r="I267" s="11">
        <v>920</v>
      </c>
    </row>
    <row r="268" spans="1:9" x14ac:dyDescent="0.3">
      <c r="A268" s="2" t="s">
        <v>407</v>
      </c>
      <c r="B268" s="3">
        <v>46178</v>
      </c>
      <c r="C268" s="4">
        <f t="shared" si="4"/>
        <v>46174</v>
      </c>
      <c r="D268" s="5" t="s">
        <v>30</v>
      </c>
      <c r="E268" s="5" t="s">
        <v>31</v>
      </c>
      <c r="F268" s="5" t="s">
        <v>136</v>
      </c>
      <c r="G268" s="5" t="s">
        <v>19</v>
      </c>
      <c r="H268" s="2" t="s">
        <v>14</v>
      </c>
      <c r="I268" s="6">
        <v>2247</v>
      </c>
    </row>
    <row r="269" spans="1:9" x14ac:dyDescent="0.3">
      <c r="A269" s="7" t="s">
        <v>408</v>
      </c>
      <c r="B269" s="8">
        <v>46178</v>
      </c>
      <c r="C269" s="9">
        <f t="shared" si="4"/>
        <v>46174</v>
      </c>
      <c r="D269" s="10" t="s">
        <v>10</v>
      </c>
      <c r="E269" s="10" t="s">
        <v>11</v>
      </c>
      <c r="F269" s="10" t="s">
        <v>12</v>
      </c>
      <c r="G269" s="10" t="s">
        <v>13</v>
      </c>
      <c r="H269" s="7" t="s">
        <v>14</v>
      </c>
      <c r="I269" s="11">
        <v>8500</v>
      </c>
    </row>
    <row r="270" spans="1:9" x14ac:dyDescent="0.3">
      <c r="A270" s="2" t="s">
        <v>409</v>
      </c>
      <c r="B270" s="3">
        <v>46179</v>
      </c>
      <c r="C270" s="4">
        <f t="shared" si="4"/>
        <v>46174</v>
      </c>
      <c r="D270" s="5" t="s">
        <v>16</v>
      </c>
      <c r="E270" s="5" t="s">
        <v>17</v>
      </c>
      <c r="F270" s="5" t="s">
        <v>295</v>
      </c>
      <c r="G270" s="5" t="s">
        <v>13</v>
      </c>
      <c r="H270" s="2" t="s">
        <v>20</v>
      </c>
      <c r="I270" s="6">
        <v>1677</v>
      </c>
    </row>
    <row r="271" spans="1:9" x14ac:dyDescent="0.3">
      <c r="A271" s="7" t="s">
        <v>410</v>
      </c>
      <c r="B271" s="8">
        <v>46180</v>
      </c>
      <c r="C271" s="9">
        <f t="shared" si="4"/>
        <v>46174</v>
      </c>
      <c r="D271" s="10" t="s">
        <v>76</v>
      </c>
      <c r="E271" s="10" t="s">
        <v>223</v>
      </c>
      <c r="F271" s="10" t="s">
        <v>224</v>
      </c>
      <c r="G271" s="10" t="s">
        <v>13</v>
      </c>
      <c r="H271" s="7" t="s">
        <v>20</v>
      </c>
      <c r="I271" s="11">
        <v>1025</v>
      </c>
    </row>
    <row r="272" spans="1:9" x14ac:dyDescent="0.3">
      <c r="A272" s="2" t="s">
        <v>411</v>
      </c>
      <c r="B272" s="3">
        <v>46180</v>
      </c>
      <c r="C272" s="4">
        <f t="shared" si="4"/>
        <v>46174</v>
      </c>
      <c r="D272" s="5" t="s">
        <v>76</v>
      </c>
      <c r="E272" s="5" t="s">
        <v>97</v>
      </c>
      <c r="F272" s="5" t="s">
        <v>98</v>
      </c>
      <c r="G272" s="5" t="s">
        <v>58</v>
      </c>
      <c r="H272" s="2" t="s">
        <v>20</v>
      </c>
      <c r="I272" s="6">
        <v>384</v>
      </c>
    </row>
    <row r="273" spans="1:9" x14ac:dyDescent="0.3">
      <c r="A273" s="7" t="s">
        <v>412</v>
      </c>
      <c r="B273" s="8">
        <v>46180</v>
      </c>
      <c r="C273" s="9">
        <f t="shared" si="4"/>
        <v>46174</v>
      </c>
      <c r="D273" s="10" t="s">
        <v>26</v>
      </c>
      <c r="E273" s="10" t="s">
        <v>38</v>
      </c>
      <c r="F273" s="10" t="s">
        <v>39</v>
      </c>
      <c r="G273" s="10" t="s">
        <v>58</v>
      </c>
      <c r="H273" s="7" t="s">
        <v>14</v>
      </c>
      <c r="I273" s="11">
        <v>1552</v>
      </c>
    </row>
    <row r="274" spans="1:9" x14ac:dyDescent="0.3">
      <c r="A274" s="2" t="s">
        <v>413</v>
      </c>
      <c r="B274" s="3">
        <v>46181</v>
      </c>
      <c r="C274" s="4">
        <f t="shared" si="4"/>
        <v>46174</v>
      </c>
      <c r="D274" s="5" t="s">
        <v>51</v>
      </c>
      <c r="E274" s="5" t="s">
        <v>180</v>
      </c>
      <c r="F274" s="5" t="s">
        <v>232</v>
      </c>
      <c r="G274" s="5" t="s">
        <v>13</v>
      </c>
      <c r="H274" s="2" t="s">
        <v>14</v>
      </c>
      <c r="I274" s="6">
        <v>3253</v>
      </c>
    </row>
    <row r="275" spans="1:9" x14ac:dyDescent="0.3">
      <c r="A275" s="7" t="s">
        <v>414</v>
      </c>
      <c r="B275" s="8">
        <v>46181</v>
      </c>
      <c r="C275" s="9">
        <f t="shared" si="4"/>
        <v>46174</v>
      </c>
      <c r="D275" s="10" t="s">
        <v>76</v>
      </c>
      <c r="E275" s="10" t="s">
        <v>223</v>
      </c>
      <c r="F275" s="10" t="s">
        <v>321</v>
      </c>
      <c r="G275" s="10" t="s">
        <v>19</v>
      </c>
      <c r="H275" s="7" t="s">
        <v>20</v>
      </c>
      <c r="I275" s="11">
        <v>953</v>
      </c>
    </row>
    <row r="276" spans="1:9" x14ac:dyDescent="0.3">
      <c r="A276" s="2" t="s">
        <v>415</v>
      </c>
      <c r="B276" s="3">
        <v>46181</v>
      </c>
      <c r="C276" s="4">
        <f t="shared" si="4"/>
        <v>46174</v>
      </c>
      <c r="D276" s="5" t="s">
        <v>26</v>
      </c>
      <c r="E276" s="5" t="s">
        <v>27</v>
      </c>
      <c r="F276" s="5" t="s">
        <v>62</v>
      </c>
      <c r="G276" s="5" t="s">
        <v>19</v>
      </c>
      <c r="H276" s="2" t="s">
        <v>20</v>
      </c>
      <c r="I276" s="6">
        <v>373</v>
      </c>
    </row>
    <row r="277" spans="1:9" x14ac:dyDescent="0.3">
      <c r="A277" s="7" t="s">
        <v>416</v>
      </c>
      <c r="B277" s="8">
        <v>46181</v>
      </c>
      <c r="C277" s="9">
        <f t="shared" si="4"/>
        <v>46174</v>
      </c>
      <c r="D277" s="10" t="s">
        <v>26</v>
      </c>
      <c r="E277" s="10" t="s">
        <v>27</v>
      </c>
      <c r="F277" s="10" t="s">
        <v>91</v>
      </c>
      <c r="G277" s="10" t="s">
        <v>58</v>
      </c>
      <c r="H277" s="7" t="s">
        <v>20</v>
      </c>
      <c r="I277" s="11">
        <v>425</v>
      </c>
    </row>
    <row r="278" spans="1:9" x14ac:dyDescent="0.3">
      <c r="A278" s="2" t="s">
        <v>417</v>
      </c>
      <c r="B278" s="3">
        <v>46181</v>
      </c>
      <c r="C278" s="4">
        <f t="shared" si="4"/>
        <v>46174</v>
      </c>
      <c r="D278" s="5" t="s">
        <v>26</v>
      </c>
      <c r="E278" s="5" t="s">
        <v>67</v>
      </c>
      <c r="F278" s="5" t="s">
        <v>192</v>
      </c>
      <c r="G278" s="5" t="s">
        <v>19</v>
      </c>
      <c r="H278" s="2" t="s">
        <v>20</v>
      </c>
      <c r="I278" s="6">
        <v>559</v>
      </c>
    </row>
    <row r="279" spans="1:9" x14ac:dyDescent="0.3">
      <c r="A279" s="7" t="s">
        <v>418</v>
      </c>
      <c r="B279" s="8">
        <v>46182</v>
      </c>
      <c r="C279" s="9">
        <f t="shared" si="4"/>
        <v>46174</v>
      </c>
      <c r="D279" s="10" t="s">
        <v>10</v>
      </c>
      <c r="E279" s="10" t="s">
        <v>34</v>
      </c>
      <c r="F279" s="10" t="s">
        <v>165</v>
      </c>
      <c r="G279" s="10" t="s">
        <v>19</v>
      </c>
      <c r="H279" s="7" t="s">
        <v>14</v>
      </c>
      <c r="I279" s="11">
        <v>955</v>
      </c>
    </row>
    <row r="280" spans="1:9" x14ac:dyDescent="0.3">
      <c r="A280" s="2" t="s">
        <v>419</v>
      </c>
      <c r="B280" s="3">
        <v>46183</v>
      </c>
      <c r="C280" s="4">
        <f t="shared" si="4"/>
        <v>46174</v>
      </c>
      <c r="D280" s="5" t="s">
        <v>30</v>
      </c>
      <c r="E280" s="5" t="s">
        <v>31</v>
      </c>
      <c r="F280" s="5" t="s">
        <v>32</v>
      </c>
      <c r="G280" s="5" t="s">
        <v>36</v>
      </c>
      <c r="H280" s="2" t="s">
        <v>14</v>
      </c>
      <c r="I280" s="6">
        <v>1679</v>
      </c>
    </row>
    <row r="281" spans="1:9" x14ac:dyDescent="0.3">
      <c r="A281" s="7" t="s">
        <v>420</v>
      </c>
      <c r="B281" s="8">
        <v>46185</v>
      </c>
      <c r="C281" s="9">
        <f t="shared" si="4"/>
        <v>46174</v>
      </c>
      <c r="D281" s="10" t="s">
        <v>26</v>
      </c>
      <c r="E281" s="10" t="s">
        <v>27</v>
      </c>
      <c r="F281" s="10" t="s">
        <v>91</v>
      </c>
      <c r="G281" s="10" t="s">
        <v>42</v>
      </c>
      <c r="H281" s="7" t="s">
        <v>20</v>
      </c>
      <c r="I281" s="11">
        <v>242</v>
      </c>
    </row>
    <row r="282" spans="1:9" x14ac:dyDescent="0.3">
      <c r="A282" s="2" t="s">
        <v>421</v>
      </c>
      <c r="B282" s="3">
        <v>46186</v>
      </c>
      <c r="C282" s="4">
        <f t="shared" si="4"/>
        <v>46174</v>
      </c>
      <c r="D282" s="5" t="s">
        <v>76</v>
      </c>
      <c r="E282" s="5" t="s">
        <v>103</v>
      </c>
      <c r="F282" s="5" t="s">
        <v>104</v>
      </c>
      <c r="G282" s="5" t="s">
        <v>19</v>
      </c>
      <c r="H282" s="2" t="s">
        <v>20</v>
      </c>
      <c r="I282" s="6">
        <v>654</v>
      </c>
    </row>
    <row r="283" spans="1:9" x14ac:dyDescent="0.3">
      <c r="A283" s="7" t="s">
        <v>422</v>
      </c>
      <c r="B283" s="8">
        <v>46188</v>
      </c>
      <c r="C283" s="9">
        <f t="shared" si="4"/>
        <v>46174</v>
      </c>
      <c r="D283" s="10" t="s">
        <v>26</v>
      </c>
      <c r="E283" s="10" t="s">
        <v>38</v>
      </c>
      <c r="F283" s="10" t="s">
        <v>39</v>
      </c>
      <c r="G283" s="10" t="s">
        <v>19</v>
      </c>
      <c r="H283" s="7" t="s">
        <v>14</v>
      </c>
      <c r="I283" s="11">
        <v>733</v>
      </c>
    </row>
    <row r="284" spans="1:9" x14ac:dyDescent="0.3">
      <c r="A284" s="2" t="s">
        <v>423</v>
      </c>
      <c r="B284" s="3">
        <v>46191</v>
      </c>
      <c r="C284" s="4">
        <f t="shared" si="4"/>
        <v>46174</v>
      </c>
      <c r="D284" s="5" t="s">
        <v>16</v>
      </c>
      <c r="E284" s="5" t="s">
        <v>138</v>
      </c>
      <c r="F284" s="5" t="s">
        <v>254</v>
      </c>
      <c r="G284" s="5" t="s">
        <v>19</v>
      </c>
      <c r="H284" s="2" t="s">
        <v>20</v>
      </c>
      <c r="I284" s="6">
        <v>1962</v>
      </c>
    </row>
    <row r="285" spans="1:9" x14ac:dyDescent="0.3">
      <c r="A285" s="7" t="s">
        <v>424</v>
      </c>
      <c r="B285" s="8">
        <v>46192</v>
      </c>
      <c r="C285" s="9">
        <f t="shared" si="4"/>
        <v>46174</v>
      </c>
      <c r="D285" s="10" t="s">
        <v>47</v>
      </c>
      <c r="E285" s="10" t="s">
        <v>249</v>
      </c>
      <c r="F285" s="10" t="s">
        <v>250</v>
      </c>
      <c r="G285" s="10" t="s">
        <v>58</v>
      </c>
      <c r="H285" s="7" t="s">
        <v>14</v>
      </c>
      <c r="I285" s="11">
        <v>562</v>
      </c>
    </row>
    <row r="286" spans="1:9" x14ac:dyDescent="0.3">
      <c r="A286" s="2" t="s">
        <v>425</v>
      </c>
      <c r="B286" s="3">
        <v>46193</v>
      </c>
      <c r="C286" s="4">
        <f t="shared" si="4"/>
        <v>46174</v>
      </c>
      <c r="D286" s="5" t="s">
        <v>22</v>
      </c>
      <c r="E286" s="5" t="s">
        <v>73</v>
      </c>
      <c r="F286" s="5" t="s">
        <v>74</v>
      </c>
      <c r="G286" s="5" t="s">
        <v>42</v>
      </c>
      <c r="H286" s="2" t="s">
        <v>14</v>
      </c>
      <c r="I286" s="6">
        <v>1093</v>
      </c>
    </row>
    <row r="287" spans="1:9" x14ac:dyDescent="0.3">
      <c r="A287" s="7" t="s">
        <v>426</v>
      </c>
      <c r="B287" s="8">
        <v>46195</v>
      </c>
      <c r="C287" s="9">
        <f t="shared" si="4"/>
        <v>46174</v>
      </c>
      <c r="D287" s="10" t="s">
        <v>47</v>
      </c>
      <c r="E287" s="10" t="s">
        <v>249</v>
      </c>
      <c r="F287" s="10" t="s">
        <v>250</v>
      </c>
      <c r="G287" s="10" t="s">
        <v>19</v>
      </c>
      <c r="H287" s="7" t="s">
        <v>14</v>
      </c>
      <c r="I287" s="11">
        <v>522</v>
      </c>
    </row>
    <row r="288" spans="1:9" x14ac:dyDescent="0.3">
      <c r="A288" s="2" t="s">
        <v>427</v>
      </c>
      <c r="B288" s="3">
        <v>46195</v>
      </c>
      <c r="C288" s="4">
        <f t="shared" si="4"/>
        <v>46174</v>
      </c>
      <c r="D288" s="5" t="s">
        <v>47</v>
      </c>
      <c r="E288" s="5" t="s">
        <v>48</v>
      </c>
      <c r="F288" s="5" t="s">
        <v>49</v>
      </c>
      <c r="G288" s="5" t="s">
        <v>42</v>
      </c>
      <c r="H288" s="2" t="s">
        <v>14</v>
      </c>
      <c r="I288" s="6">
        <v>635</v>
      </c>
    </row>
    <row r="289" spans="1:9" x14ac:dyDescent="0.3">
      <c r="A289" s="7" t="s">
        <v>428</v>
      </c>
      <c r="B289" s="8">
        <v>46197</v>
      </c>
      <c r="C289" s="9">
        <f t="shared" si="4"/>
        <v>46174</v>
      </c>
      <c r="D289" s="10" t="s">
        <v>51</v>
      </c>
      <c r="E289" s="10" t="s">
        <v>180</v>
      </c>
      <c r="F289" s="10" t="s">
        <v>181</v>
      </c>
      <c r="G289" s="10" t="s">
        <v>19</v>
      </c>
      <c r="H289" s="7" t="s">
        <v>14</v>
      </c>
      <c r="I289" s="11">
        <v>1625</v>
      </c>
    </row>
    <row r="290" spans="1:9" x14ac:dyDescent="0.3">
      <c r="A290" s="2" t="s">
        <v>429</v>
      </c>
      <c r="B290" s="3">
        <v>46197</v>
      </c>
      <c r="C290" s="4">
        <f t="shared" si="4"/>
        <v>46174</v>
      </c>
      <c r="D290" s="5" t="s">
        <v>76</v>
      </c>
      <c r="E290" s="5" t="s">
        <v>97</v>
      </c>
      <c r="F290" s="5" t="s">
        <v>430</v>
      </c>
      <c r="G290" s="5" t="s">
        <v>19</v>
      </c>
      <c r="H290" s="2" t="s">
        <v>20</v>
      </c>
      <c r="I290" s="6">
        <v>296</v>
      </c>
    </row>
    <row r="291" spans="1:9" x14ac:dyDescent="0.3">
      <c r="A291" s="7" t="s">
        <v>431</v>
      </c>
      <c r="B291" s="8">
        <v>46197</v>
      </c>
      <c r="C291" s="9">
        <f t="shared" si="4"/>
        <v>46174</v>
      </c>
      <c r="D291" s="10" t="s">
        <v>10</v>
      </c>
      <c r="E291" s="10" t="s">
        <v>34</v>
      </c>
      <c r="F291" s="10" t="s">
        <v>35</v>
      </c>
      <c r="G291" s="10" t="s">
        <v>19</v>
      </c>
      <c r="H291" s="7" t="s">
        <v>14</v>
      </c>
      <c r="I291" s="11">
        <v>1191</v>
      </c>
    </row>
    <row r="292" spans="1:9" x14ac:dyDescent="0.3">
      <c r="A292" s="2" t="s">
        <v>432</v>
      </c>
      <c r="B292" s="3">
        <v>46197</v>
      </c>
      <c r="C292" s="4">
        <f t="shared" si="4"/>
        <v>46174</v>
      </c>
      <c r="D292" s="5" t="s">
        <v>10</v>
      </c>
      <c r="E292" s="5" t="s">
        <v>87</v>
      </c>
      <c r="F292" s="5" t="s">
        <v>267</v>
      </c>
      <c r="G292" s="5" t="s">
        <v>42</v>
      </c>
      <c r="H292" s="2" t="s">
        <v>14</v>
      </c>
      <c r="I292" s="6">
        <v>467</v>
      </c>
    </row>
    <row r="293" spans="1:9" x14ac:dyDescent="0.3">
      <c r="A293" s="7" t="s">
        <v>433</v>
      </c>
      <c r="B293" s="8">
        <v>46197</v>
      </c>
      <c r="C293" s="9">
        <f t="shared" si="4"/>
        <v>46174</v>
      </c>
      <c r="D293" s="10" t="s">
        <v>16</v>
      </c>
      <c r="E293" s="10" t="s">
        <v>17</v>
      </c>
      <c r="F293" s="10" t="s">
        <v>169</v>
      </c>
      <c r="G293" s="10" t="s">
        <v>19</v>
      </c>
      <c r="H293" s="7" t="s">
        <v>20</v>
      </c>
      <c r="I293" s="11">
        <v>2532</v>
      </c>
    </row>
    <row r="294" spans="1:9" x14ac:dyDescent="0.3">
      <c r="A294" s="2" t="s">
        <v>434</v>
      </c>
      <c r="B294" s="3">
        <v>46197</v>
      </c>
      <c r="C294" s="4">
        <f t="shared" si="4"/>
        <v>46174</v>
      </c>
      <c r="D294" s="5" t="s">
        <v>47</v>
      </c>
      <c r="E294" s="5" t="s">
        <v>249</v>
      </c>
      <c r="F294" s="5" t="s">
        <v>279</v>
      </c>
      <c r="G294" s="5" t="s">
        <v>19</v>
      </c>
      <c r="H294" s="2" t="s">
        <v>14</v>
      </c>
      <c r="I294" s="6">
        <v>294</v>
      </c>
    </row>
    <row r="295" spans="1:9" x14ac:dyDescent="0.3">
      <c r="A295" s="7" t="s">
        <v>435</v>
      </c>
      <c r="B295" s="8">
        <v>46197</v>
      </c>
      <c r="C295" s="9">
        <f t="shared" si="4"/>
        <v>46174</v>
      </c>
      <c r="D295" s="10" t="s">
        <v>47</v>
      </c>
      <c r="E295" s="10" t="s">
        <v>174</v>
      </c>
      <c r="F295" s="10" t="s">
        <v>175</v>
      </c>
      <c r="G295" s="10" t="s">
        <v>58</v>
      </c>
      <c r="H295" s="7" t="s">
        <v>14</v>
      </c>
      <c r="I295" s="11">
        <v>737</v>
      </c>
    </row>
    <row r="296" spans="1:9" x14ac:dyDescent="0.3">
      <c r="A296" s="2" t="s">
        <v>436</v>
      </c>
      <c r="B296" s="3">
        <v>46198</v>
      </c>
      <c r="C296" s="4">
        <f t="shared" si="4"/>
        <v>46174</v>
      </c>
      <c r="D296" s="5" t="s">
        <v>26</v>
      </c>
      <c r="E296" s="5" t="s">
        <v>80</v>
      </c>
      <c r="F296" s="5" t="s">
        <v>93</v>
      </c>
      <c r="G296" s="5" t="s">
        <v>42</v>
      </c>
      <c r="H296" s="2" t="s">
        <v>20</v>
      </c>
      <c r="I296" s="6">
        <v>1042</v>
      </c>
    </row>
    <row r="297" spans="1:9" x14ac:dyDescent="0.3">
      <c r="A297" s="7" t="s">
        <v>437</v>
      </c>
      <c r="B297" s="8">
        <v>46198</v>
      </c>
      <c r="C297" s="9">
        <f t="shared" si="4"/>
        <v>46174</v>
      </c>
      <c r="D297" s="10" t="s">
        <v>22</v>
      </c>
      <c r="E297" s="10" t="s">
        <v>73</v>
      </c>
      <c r="F297" s="10" t="s">
        <v>74</v>
      </c>
      <c r="G297" s="10" t="s">
        <v>19</v>
      </c>
      <c r="H297" s="7" t="s">
        <v>14</v>
      </c>
      <c r="I297" s="11">
        <v>767</v>
      </c>
    </row>
    <row r="298" spans="1:9" x14ac:dyDescent="0.3">
      <c r="A298" s="2" t="s">
        <v>438</v>
      </c>
      <c r="B298" s="3">
        <v>46200</v>
      </c>
      <c r="C298" s="4">
        <f t="shared" si="4"/>
        <v>46174</v>
      </c>
      <c r="D298" s="5" t="s">
        <v>16</v>
      </c>
      <c r="E298" s="5" t="s">
        <v>138</v>
      </c>
      <c r="F298" s="5" t="s">
        <v>139</v>
      </c>
      <c r="G298" s="5" t="s">
        <v>19</v>
      </c>
      <c r="H298" s="2" t="s">
        <v>20</v>
      </c>
      <c r="I298" s="6">
        <v>877</v>
      </c>
    </row>
    <row r="299" spans="1:9" x14ac:dyDescent="0.3">
      <c r="A299" s="7" t="s">
        <v>439</v>
      </c>
      <c r="B299" s="8">
        <v>46201</v>
      </c>
      <c r="C299" s="9">
        <f t="shared" si="4"/>
        <v>46174</v>
      </c>
      <c r="D299" s="10" t="s">
        <v>76</v>
      </c>
      <c r="E299" s="10" t="s">
        <v>103</v>
      </c>
      <c r="F299" s="10" t="s">
        <v>104</v>
      </c>
      <c r="G299" s="10" t="s">
        <v>19</v>
      </c>
      <c r="H299" s="7" t="s">
        <v>20</v>
      </c>
      <c r="I299" s="11">
        <v>285</v>
      </c>
    </row>
    <row r="300" spans="1:9" x14ac:dyDescent="0.3">
      <c r="A300" s="2" t="s">
        <v>440</v>
      </c>
      <c r="B300" s="3">
        <v>46201</v>
      </c>
      <c r="C300" s="4">
        <f t="shared" si="4"/>
        <v>46174</v>
      </c>
      <c r="D300" s="5" t="s">
        <v>26</v>
      </c>
      <c r="E300" s="5" t="s">
        <v>80</v>
      </c>
      <c r="F300" s="5" t="s">
        <v>93</v>
      </c>
      <c r="G300" s="5" t="s">
        <v>36</v>
      </c>
      <c r="H300" s="2" t="s">
        <v>20</v>
      </c>
      <c r="I300" s="6">
        <v>1111</v>
      </c>
    </row>
    <row r="301" spans="1:9" x14ac:dyDescent="0.3">
      <c r="A301" s="7" t="s">
        <v>441</v>
      </c>
      <c r="B301" s="8">
        <v>46202</v>
      </c>
      <c r="C301" s="9">
        <f t="shared" si="4"/>
        <v>46174</v>
      </c>
      <c r="D301" s="10" t="s">
        <v>26</v>
      </c>
      <c r="E301" s="10" t="s">
        <v>80</v>
      </c>
      <c r="F301" s="10" t="s">
        <v>93</v>
      </c>
      <c r="G301" s="10" t="s">
        <v>19</v>
      </c>
      <c r="H301" s="7" t="s">
        <v>20</v>
      </c>
      <c r="I301" s="11">
        <v>1088</v>
      </c>
    </row>
    <row r="302" spans="1:9" x14ac:dyDescent="0.3">
      <c r="A302" s="2" t="s">
        <v>442</v>
      </c>
      <c r="B302" s="3">
        <v>46203</v>
      </c>
      <c r="C302" s="4">
        <f t="shared" si="4"/>
        <v>46174</v>
      </c>
      <c r="D302" s="5" t="s">
        <v>26</v>
      </c>
      <c r="E302" s="5" t="s">
        <v>38</v>
      </c>
      <c r="F302" s="5" t="s">
        <v>60</v>
      </c>
      <c r="G302" s="5" t="s">
        <v>42</v>
      </c>
      <c r="H302" s="2" t="s">
        <v>14</v>
      </c>
      <c r="I302" s="6">
        <v>380</v>
      </c>
    </row>
    <row r="303" spans="1:9" x14ac:dyDescent="0.3">
      <c r="A303" s="7" t="s">
        <v>443</v>
      </c>
      <c r="B303" s="8">
        <v>46203</v>
      </c>
      <c r="C303" s="9">
        <f t="shared" si="4"/>
        <v>46174</v>
      </c>
      <c r="D303" s="10" t="s">
        <v>30</v>
      </c>
      <c r="E303" s="10" t="s">
        <v>116</v>
      </c>
      <c r="F303" s="10" t="s">
        <v>117</v>
      </c>
      <c r="G303" s="10" t="s">
        <v>42</v>
      </c>
      <c r="H303" s="7" t="s">
        <v>14</v>
      </c>
      <c r="I303" s="11">
        <v>565</v>
      </c>
    </row>
    <row r="304" spans="1:9" x14ac:dyDescent="0.3">
      <c r="A304" s="2" t="s">
        <v>444</v>
      </c>
      <c r="B304" s="3">
        <v>46203</v>
      </c>
      <c r="C304" s="4">
        <f t="shared" si="4"/>
        <v>46174</v>
      </c>
      <c r="D304" s="5" t="s">
        <v>22</v>
      </c>
      <c r="E304" s="5" t="s">
        <v>23</v>
      </c>
      <c r="F304" s="5" t="s">
        <v>160</v>
      </c>
      <c r="G304" s="5" t="s">
        <v>19</v>
      </c>
      <c r="H304" s="2" t="s">
        <v>14</v>
      </c>
      <c r="I304" s="6">
        <v>254</v>
      </c>
    </row>
    <row r="305" spans="1:9" x14ac:dyDescent="0.3">
      <c r="A305" s="7" t="s">
        <v>445</v>
      </c>
      <c r="B305" s="8">
        <v>46204</v>
      </c>
      <c r="C305" s="9">
        <f t="shared" si="4"/>
        <v>46204</v>
      </c>
      <c r="D305" s="10" t="s">
        <v>47</v>
      </c>
      <c r="E305" s="10" t="s">
        <v>174</v>
      </c>
      <c r="F305" s="10" t="s">
        <v>175</v>
      </c>
      <c r="G305" s="10" t="s">
        <v>19</v>
      </c>
      <c r="H305" s="7" t="s">
        <v>14</v>
      </c>
      <c r="I305" s="11">
        <v>1058</v>
      </c>
    </row>
    <row r="306" spans="1:9" x14ac:dyDescent="0.3">
      <c r="A306" s="2" t="s">
        <v>446</v>
      </c>
      <c r="B306" s="3">
        <v>46206</v>
      </c>
      <c r="C306" s="4">
        <f t="shared" si="4"/>
        <v>46204</v>
      </c>
      <c r="D306" s="5" t="s">
        <v>26</v>
      </c>
      <c r="E306" s="5" t="s">
        <v>67</v>
      </c>
      <c r="F306" s="5" t="s">
        <v>192</v>
      </c>
      <c r="G306" s="5" t="s">
        <v>36</v>
      </c>
      <c r="H306" s="2" t="s">
        <v>20</v>
      </c>
      <c r="I306" s="6">
        <v>201</v>
      </c>
    </row>
    <row r="307" spans="1:9" x14ac:dyDescent="0.3">
      <c r="A307" s="7" t="s">
        <v>447</v>
      </c>
      <c r="B307" s="8">
        <v>46206</v>
      </c>
      <c r="C307" s="9">
        <f t="shared" si="4"/>
        <v>46204</v>
      </c>
      <c r="D307" s="10" t="s">
        <v>26</v>
      </c>
      <c r="E307" s="10" t="s">
        <v>38</v>
      </c>
      <c r="F307" s="10" t="s">
        <v>151</v>
      </c>
      <c r="G307" s="10" t="s">
        <v>19</v>
      </c>
      <c r="H307" s="7" t="s">
        <v>14</v>
      </c>
      <c r="I307" s="11">
        <v>1132</v>
      </c>
    </row>
    <row r="308" spans="1:9" x14ac:dyDescent="0.3">
      <c r="A308" s="2" t="s">
        <v>448</v>
      </c>
      <c r="B308" s="3">
        <v>46206</v>
      </c>
      <c r="C308" s="4">
        <f t="shared" si="4"/>
        <v>46204</v>
      </c>
      <c r="D308" s="5" t="s">
        <v>10</v>
      </c>
      <c r="E308" s="5" t="s">
        <v>87</v>
      </c>
      <c r="F308" s="5" t="s">
        <v>119</v>
      </c>
      <c r="G308" s="5" t="s">
        <v>19</v>
      </c>
      <c r="H308" s="2" t="s">
        <v>14</v>
      </c>
      <c r="I308" s="6">
        <v>2087</v>
      </c>
    </row>
    <row r="309" spans="1:9" x14ac:dyDescent="0.3">
      <c r="A309" s="7" t="s">
        <v>449</v>
      </c>
      <c r="B309" s="8">
        <v>46206</v>
      </c>
      <c r="C309" s="9">
        <f t="shared" si="4"/>
        <v>46204</v>
      </c>
      <c r="D309" s="10" t="s">
        <v>47</v>
      </c>
      <c r="E309" s="10" t="s">
        <v>174</v>
      </c>
      <c r="F309" s="10" t="s">
        <v>335</v>
      </c>
      <c r="G309" s="10" t="s">
        <v>19</v>
      </c>
      <c r="H309" s="7" t="s">
        <v>14</v>
      </c>
      <c r="I309" s="11">
        <v>1057</v>
      </c>
    </row>
    <row r="310" spans="1:9" x14ac:dyDescent="0.3">
      <c r="A310" s="2" t="s">
        <v>450</v>
      </c>
      <c r="B310" s="3">
        <v>46207</v>
      </c>
      <c r="C310" s="4">
        <f t="shared" si="4"/>
        <v>46204</v>
      </c>
      <c r="D310" s="5" t="s">
        <v>51</v>
      </c>
      <c r="E310" s="5" t="s">
        <v>133</v>
      </c>
      <c r="F310" s="5" t="s">
        <v>451</v>
      </c>
      <c r="G310" s="5" t="s">
        <v>36</v>
      </c>
      <c r="H310" s="2" t="s">
        <v>14</v>
      </c>
      <c r="I310" s="6">
        <v>886</v>
      </c>
    </row>
    <row r="311" spans="1:9" x14ac:dyDescent="0.3">
      <c r="A311" s="7" t="s">
        <v>452</v>
      </c>
      <c r="B311" s="8">
        <v>46207</v>
      </c>
      <c r="C311" s="9">
        <f t="shared" si="4"/>
        <v>46204</v>
      </c>
      <c r="D311" s="10" t="s">
        <v>10</v>
      </c>
      <c r="E311" s="10" t="s">
        <v>11</v>
      </c>
      <c r="F311" s="10" t="s">
        <v>12</v>
      </c>
      <c r="G311" s="10" t="s">
        <v>13</v>
      </c>
      <c r="H311" s="7" t="s">
        <v>14</v>
      </c>
      <c r="I311" s="11">
        <v>8500</v>
      </c>
    </row>
    <row r="312" spans="1:9" x14ac:dyDescent="0.3">
      <c r="A312" s="2" t="s">
        <v>453</v>
      </c>
      <c r="B312" s="3">
        <v>46207</v>
      </c>
      <c r="C312" s="4">
        <f t="shared" si="4"/>
        <v>46204</v>
      </c>
      <c r="D312" s="5" t="s">
        <v>22</v>
      </c>
      <c r="E312" s="5" t="s">
        <v>70</v>
      </c>
      <c r="F312" s="5" t="s">
        <v>71</v>
      </c>
      <c r="G312" s="5" t="s">
        <v>58</v>
      </c>
      <c r="H312" s="2" t="s">
        <v>20</v>
      </c>
      <c r="I312" s="6">
        <v>4726</v>
      </c>
    </row>
    <row r="313" spans="1:9" x14ac:dyDescent="0.3">
      <c r="A313" s="7" t="s">
        <v>454</v>
      </c>
      <c r="B313" s="8">
        <v>46208</v>
      </c>
      <c r="C313" s="9">
        <f t="shared" si="4"/>
        <v>46204</v>
      </c>
      <c r="D313" s="10" t="s">
        <v>26</v>
      </c>
      <c r="E313" s="10" t="s">
        <v>38</v>
      </c>
      <c r="F313" s="10" t="s">
        <v>55</v>
      </c>
      <c r="G313" s="10" t="s">
        <v>58</v>
      </c>
      <c r="H313" s="7" t="s">
        <v>14</v>
      </c>
      <c r="I313" s="11">
        <v>1275</v>
      </c>
    </row>
    <row r="314" spans="1:9" x14ac:dyDescent="0.3">
      <c r="A314" s="2" t="s">
        <v>455</v>
      </c>
      <c r="B314" s="3">
        <v>46209</v>
      </c>
      <c r="C314" s="4">
        <f t="shared" si="4"/>
        <v>46204</v>
      </c>
      <c r="D314" s="5" t="s">
        <v>51</v>
      </c>
      <c r="E314" s="5" t="s">
        <v>205</v>
      </c>
      <c r="F314" s="5" t="s">
        <v>206</v>
      </c>
      <c r="G314" s="5" t="s">
        <v>58</v>
      </c>
      <c r="H314" s="2" t="s">
        <v>20</v>
      </c>
      <c r="I314" s="6">
        <v>523</v>
      </c>
    </row>
    <row r="315" spans="1:9" x14ac:dyDescent="0.3">
      <c r="A315" s="7" t="s">
        <v>456</v>
      </c>
      <c r="B315" s="8">
        <v>46209</v>
      </c>
      <c r="C315" s="9">
        <f t="shared" si="4"/>
        <v>46204</v>
      </c>
      <c r="D315" s="10" t="s">
        <v>76</v>
      </c>
      <c r="E315" s="10" t="s">
        <v>223</v>
      </c>
      <c r="F315" s="10" t="s">
        <v>224</v>
      </c>
      <c r="G315" s="10" t="s">
        <v>42</v>
      </c>
      <c r="H315" s="7" t="s">
        <v>20</v>
      </c>
      <c r="I315" s="11">
        <v>445</v>
      </c>
    </row>
    <row r="316" spans="1:9" x14ac:dyDescent="0.3">
      <c r="A316" s="2" t="s">
        <v>457</v>
      </c>
      <c r="B316" s="3">
        <v>46209</v>
      </c>
      <c r="C316" s="4">
        <f t="shared" si="4"/>
        <v>46204</v>
      </c>
      <c r="D316" s="5" t="s">
        <v>26</v>
      </c>
      <c r="E316" s="5" t="s">
        <v>80</v>
      </c>
      <c r="F316" s="5" t="s">
        <v>83</v>
      </c>
      <c r="G316" s="5" t="s">
        <v>13</v>
      </c>
      <c r="H316" s="2" t="s">
        <v>20</v>
      </c>
      <c r="I316" s="6">
        <v>254</v>
      </c>
    </row>
    <row r="317" spans="1:9" x14ac:dyDescent="0.3">
      <c r="A317" s="7" t="s">
        <v>458</v>
      </c>
      <c r="B317" s="8">
        <v>46210</v>
      </c>
      <c r="C317" s="9">
        <f t="shared" si="4"/>
        <v>46204</v>
      </c>
      <c r="D317" s="10" t="s">
        <v>26</v>
      </c>
      <c r="E317" s="10" t="s">
        <v>27</v>
      </c>
      <c r="F317" s="10" t="s">
        <v>62</v>
      </c>
      <c r="G317" s="10" t="s">
        <v>36</v>
      </c>
      <c r="H317" s="7" t="s">
        <v>20</v>
      </c>
      <c r="I317" s="11">
        <v>163</v>
      </c>
    </row>
    <row r="318" spans="1:9" x14ac:dyDescent="0.3">
      <c r="A318" s="2" t="s">
        <v>459</v>
      </c>
      <c r="B318" s="3">
        <v>46211</v>
      </c>
      <c r="C318" s="4">
        <f t="shared" si="4"/>
        <v>46204</v>
      </c>
      <c r="D318" s="5" t="s">
        <v>51</v>
      </c>
      <c r="E318" s="5" t="s">
        <v>52</v>
      </c>
      <c r="F318" s="5" t="s">
        <v>460</v>
      </c>
      <c r="G318" s="5" t="s">
        <v>19</v>
      </c>
      <c r="H318" s="2" t="s">
        <v>14</v>
      </c>
      <c r="I318" s="6">
        <v>226</v>
      </c>
    </row>
    <row r="319" spans="1:9" x14ac:dyDescent="0.3">
      <c r="A319" s="7" t="s">
        <v>461</v>
      </c>
      <c r="B319" s="8">
        <v>46211</v>
      </c>
      <c r="C319" s="9">
        <f t="shared" si="4"/>
        <v>46204</v>
      </c>
      <c r="D319" s="10" t="s">
        <v>22</v>
      </c>
      <c r="E319" s="10" t="s">
        <v>70</v>
      </c>
      <c r="F319" s="10" t="s">
        <v>71</v>
      </c>
      <c r="G319" s="10" t="s">
        <v>42</v>
      </c>
      <c r="H319" s="7" t="s">
        <v>20</v>
      </c>
      <c r="I319" s="11">
        <v>4685</v>
      </c>
    </row>
    <row r="320" spans="1:9" x14ac:dyDescent="0.3">
      <c r="A320" s="2" t="s">
        <v>462</v>
      </c>
      <c r="B320" s="3">
        <v>46212</v>
      </c>
      <c r="C320" s="4">
        <f t="shared" si="4"/>
        <v>46204</v>
      </c>
      <c r="D320" s="5" t="s">
        <v>76</v>
      </c>
      <c r="E320" s="5" t="s">
        <v>103</v>
      </c>
      <c r="F320" s="5" t="s">
        <v>379</v>
      </c>
      <c r="G320" s="5" t="s">
        <v>58</v>
      </c>
      <c r="H320" s="2" t="s">
        <v>20</v>
      </c>
      <c r="I320" s="6">
        <v>843</v>
      </c>
    </row>
    <row r="321" spans="1:9" x14ac:dyDescent="0.3">
      <c r="A321" s="7" t="s">
        <v>463</v>
      </c>
      <c r="B321" s="8">
        <v>46212</v>
      </c>
      <c r="C321" s="9">
        <f t="shared" si="4"/>
        <v>46204</v>
      </c>
      <c r="D321" s="10" t="s">
        <v>26</v>
      </c>
      <c r="E321" s="10" t="s">
        <v>67</v>
      </c>
      <c r="F321" s="10" t="s">
        <v>68</v>
      </c>
      <c r="G321" s="10" t="s">
        <v>42</v>
      </c>
      <c r="H321" s="7" t="s">
        <v>20</v>
      </c>
      <c r="I321" s="11">
        <v>354</v>
      </c>
    </row>
    <row r="322" spans="1:9" x14ac:dyDescent="0.3">
      <c r="A322" s="2" t="s">
        <v>464</v>
      </c>
      <c r="B322" s="3">
        <v>46212</v>
      </c>
      <c r="C322" s="4">
        <f t="shared" ref="C322:C385" si="5">DATE(YEAR(B322),MONTH(B322),1)</f>
        <v>46204</v>
      </c>
      <c r="D322" s="5" t="s">
        <v>47</v>
      </c>
      <c r="E322" s="5" t="s">
        <v>48</v>
      </c>
      <c r="F322" s="5" t="s">
        <v>57</v>
      </c>
      <c r="G322" s="5" t="s">
        <v>19</v>
      </c>
      <c r="H322" s="2" t="s">
        <v>14</v>
      </c>
      <c r="I322" s="6">
        <v>506</v>
      </c>
    </row>
    <row r="323" spans="1:9" x14ac:dyDescent="0.3">
      <c r="A323" s="7" t="s">
        <v>465</v>
      </c>
      <c r="B323" s="8">
        <v>46213</v>
      </c>
      <c r="C323" s="9">
        <f t="shared" si="5"/>
        <v>46204</v>
      </c>
      <c r="D323" s="10" t="s">
        <v>16</v>
      </c>
      <c r="E323" s="10" t="s">
        <v>138</v>
      </c>
      <c r="F323" s="10" t="s">
        <v>254</v>
      </c>
      <c r="G323" s="10" t="s">
        <v>58</v>
      </c>
      <c r="H323" s="7" t="s">
        <v>20</v>
      </c>
      <c r="I323" s="11">
        <v>1666</v>
      </c>
    </row>
    <row r="324" spans="1:9" x14ac:dyDescent="0.3">
      <c r="A324" s="2" t="s">
        <v>466</v>
      </c>
      <c r="B324" s="3">
        <v>46214</v>
      </c>
      <c r="C324" s="4">
        <f t="shared" si="5"/>
        <v>46204</v>
      </c>
      <c r="D324" s="5" t="s">
        <v>47</v>
      </c>
      <c r="E324" s="5" t="s">
        <v>249</v>
      </c>
      <c r="F324" s="5" t="s">
        <v>279</v>
      </c>
      <c r="G324" s="5" t="s">
        <v>19</v>
      </c>
      <c r="H324" s="2" t="s">
        <v>14</v>
      </c>
      <c r="I324" s="6">
        <v>450</v>
      </c>
    </row>
    <row r="325" spans="1:9" x14ac:dyDescent="0.3">
      <c r="A325" s="7" t="s">
        <v>467</v>
      </c>
      <c r="B325" s="8">
        <v>46215</v>
      </c>
      <c r="C325" s="9">
        <f t="shared" si="5"/>
        <v>46204</v>
      </c>
      <c r="D325" s="10" t="s">
        <v>22</v>
      </c>
      <c r="E325" s="10" t="s">
        <v>122</v>
      </c>
      <c r="F325" s="10" t="s">
        <v>123</v>
      </c>
      <c r="G325" s="10" t="s">
        <v>36</v>
      </c>
      <c r="H325" s="7" t="s">
        <v>20</v>
      </c>
      <c r="I325" s="11">
        <v>323</v>
      </c>
    </row>
    <row r="326" spans="1:9" x14ac:dyDescent="0.3">
      <c r="A326" s="2" t="s">
        <v>468</v>
      </c>
      <c r="B326" s="3">
        <v>46219</v>
      </c>
      <c r="C326" s="4">
        <f t="shared" si="5"/>
        <v>46204</v>
      </c>
      <c r="D326" s="5" t="s">
        <v>51</v>
      </c>
      <c r="E326" s="5" t="s">
        <v>205</v>
      </c>
      <c r="F326" s="5" t="s">
        <v>469</v>
      </c>
      <c r="G326" s="5" t="s">
        <v>13</v>
      </c>
      <c r="H326" s="2" t="s">
        <v>20</v>
      </c>
      <c r="I326" s="6">
        <v>706</v>
      </c>
    </row>
    <row r="327" spans="1:9" x14ac:dyDescent="0.3">
      <c r="A327" s="7" t="s">
        <v>470</v>
      </c>
      <c r="B327" s="8">
        <v>46220</v>
      </c>
      <c r="C327" s="9">
        <f t="shared" si="5"/>
        <v>46204</v>
      </c>
      <c r="D327" s="10" t="s">
        <v>16</v>
      </c>
      <c r="E327" s="10" t="s">
        <v>17</v>
      </c>
      <c r="F327" s="10" t="s">
        <v>295</v>
      </c>
      <c r="G327" s="10" t="s">
        <v>19</v>
      </c>
      <c r="H327" s="7" t="s">
        <v>20</v>
      </c>
      <c r="I327" s="11">
        <v>2123</v>
      </c>
    </row>
    <row r="328" spans="1:9" x14ac:dyDescent="0.3">
      <c r="A328" s="2" t="s">
        <v>471</v>
      </c>
      <c r="B328" s="3">
        <v>46221</v>
      </c>
      <c r="C328" s="4">
        <f t="shared" si="5"/>
        <v>46204</v>
      </c>
      <c r="D328" s="5" t="s">
        <v>30</v>
      </c>
      <c r="E328" s="5" t="s">
        <v>106</v>
      </c>
      <c r="F328" s="5" t="s">
        <v>107</v>
      </c>
      <c r="G328" s="5" t="s">
        <v>19</v>
      </c>
      <c r="H328" s="2" t="s">
        <v>14</v>
      </c>
      <c r="I328" s="6">
        <v>560</v>
      </c>
    </row>
    <row r="329" spans="1:9" x14ac:dyDescent="0.3">
      <c r="A329" s="7" t="s">
        <v>472</v>
      </c>
      <c r="B329" s="8">
        <v>46223</v>
      </c>
      <c r="C329" s="9">
        <f t="shared" si="5"/>
        <v>46204</v>
      </c>
      <c r="D329" s="10" t="s">
        <v>26</v>
      </c>
      <c r="E329" s="10" t="s">
        <v>80</v>
      </c>
      <c r="F329" s="10" t="s">
        <v>83</v>
      </c>
      <c r="G329" s="10" t="s">
        <v>42</v>
      </c>
      <c r="H329" s="7" t="s">
        <v>20</v>
      </c>
      <c r="I329" s="11">
        <v>621</v>
      </c>
    </row>
    <row r="330" spans="1:9" x14ac:dyDescent="0.3">
      <c r="A330" s="2" t="s">
        <v>473</v>
      </c>
      <c r="B330" s="3">
        <v>46227</v>
      </c>
      <c r="C330" s="4">
        <f t="shared" si="5"/>
        <v>46204</v>
      </c>
      <c r="D330" s="5" t="s">
        <v>76</v>
      </c>
      <c r="E330" s="5" t="s">
        <v>223</v>
      </c>
      <c r="F330" s="5" t="s">
        <v>474</v>
      </c>
      <c r="G330" s="5" t="s">
        <v>19</v>
      </c>
      <c r="H330" s="2" t="s">
        <v>20</v>
      </c>
      <c r="I330" s="6">
        <v>132</v>
      </c>
    </row>
    <row r="331" spans="1:9" x14ac:dyDescent="0.3">
      <c r="A331" s="7" t="s">
        <v>475</v>
      </c>
      <c r="B331" s="8">
        <v>46227</v>
      </c>
      <c r="C331" s="9">
        <f t="shared" si="5"/>
        <v>46204</v>
      </c>
      <c r="D331" s="10" t="s">
        <v>26</v>
      </c>
      <c r="E331" s="10" t="s">
        <v>67</v>
      </c>
      <c r="F331" s="10" t="s">
        <v>68</v>
      </c>
      <c r="G331" s="10" t="s">
        <v>36</v>
      </c>
      <c r="H331" s="7" t="s">
        <v>20</v>
      </c>
      <c r="I331" s="11">
        <v>222</v>
      </c>
    </row>
    <row r="332" spans="1:9" x14ac:dyDescent="0.3">
      <c r="A332" s="2" t="s">
        <v>476</v>
      </c>
      <c r="B332" s="3">
        <v>46227</v>
      </c>
      <c r="C332" s="4">
        <f t="shared" si="5"/>
        <v>46204</v>
      </c>
      <c r="D332" s="5" t="s">
        <v>26</v>
      </c>
      <c r="E332" s="5" t="s">
        <v>27</v>
      </c>
      <c r="F332" s="5" t="s">
        <v>62</v>
      </c>
      <c r="G332" s="5" t="s">
        <v>19</v>
      </c>
      <c r="H332" s="2" t="s">
        <v>20</v>
      </c>
      <c r="I332" s="6">
        <v>395</v>
      </c>
    </row>
    <row r="333" spans="1:9" x14ac:dyDescent="0.3">
      <c r="A333" s="7" t="s">
        <v>477</v>
      </c>
      <c r="B333" s="8">
        <v>46228</v>
      </c>
      <c r="C333" s="9">
        <f t="shared" si="5"/>
        <v>46204</v>
      </c>
      <c r="D333" s="10" t="s">
        <v>30</v>
      </c>
      <c r="E333" s="10" t="s">
        <v>31</v>
      </c>
      <c r="F333" s="10" t="s">
        <v>136</v>
      </c>
      <c r="G333" s="10" t="s">
        <v>19</v>
      </c>
      <c r="H333" s="7" t="s">
        <v>14</v>
      </c>
      <c r="I333" s="11">
        <v>1402</v>
      </c>
    </row>
    <row r="334" spans="1:9" x14ac:dyDescent="0.3">
      <c r="A334" s="2" t="s">
        <v>478</v>
      </c>
      <c r="B334" s="3">
        <v>46228</v>
      </c>
      <c r="C334" s="4">
        <f t="shared" si="5"/>
        <v>46204</v>
      </c>
      <c r="D334" s="5" t="s">
        <v>22</v>
      </c>
      <c r="E334" s="5" t="s">
        <v>122</v>
      </c>
      <c r="F334" s="5" t="s">
        <v>293</v>
      </c>
      <c r="G334" s="5" t="s">
        <v>42</v>
      </c>
      <c r="H334" s="2" t="s">
        <v>20</v>
      </c>
      <c r="I334" s="6">
        <v>193</v>
      </c>
    </row>
    <row r="335" spans="1:9" x14ac:dyDescent="0.3">
      <c r="A335" s="7" t="s">
        <v>479</v>
      </c>
      <c r="B335" s="8">
        <v>46229</v>
      </c>
      <c r="C335" s="9">
        <f t="shared" si="5"/>
        <v>46204</v>
      </c>
      <c r="D335" s="10" t="s">
        <v>26</v>
      </c>
      <c r="E335" s="10" t="s">
        <v>67</v>
      </c>
      <c r="F335" s="10" t="s">
        <v>208</v>
      </c>
      <c r="G335" s="10" t="s">
        <v>58</v>
      </c>
      <c r="H335" s="7" t="s">
        <v>20</v>
      </c>
      <c r="I335" s="11">
        <v>254</v>
      </c>
    </row>
    <row r="336" spans="1:9" x14ac:dyDescent="0.3">
      <c r="A336" s="2" t="s">
        <v>480</v>
      </c>
      <c r="B336" s="3">
        <v>46230</v>
      </c>
      <c r="C336" s="4">
        <f t="shared" si="5"/>
        <v>46204</v>
      </c>
      <c r="D336" s="5" t="s">
        <v>22</v>
      </c>
      <c r="E336" s="5" t="s">
        <v>23</v>
      </c>
      <c r="F336" s="5" t="s">
        <v>24</v>
      </c>
      <c r="G336" s="5" t="s">
        <v>58</v>
      </c>
      <c r="H336" s="2" t="s">
        <v>14</v>
      </c>
      <c r="I336" s="6">
        <v>53</v>
      </c>
    </row>
    <row r="337" spans="1:9" x14ac:dyDescent="0.3">
      <c r="A337" s="7" t="s">
        <v>481</v>
      </c>
      <c r="B337" s="8">
        <v>46231</v>
      </c>
      <c r="C337" s="9">
        <f t="shared" si="5"/>
        <v>46204</v>
      </c>
      <c r="D337" s="10" t="s">
        <v>30</v>
      </c>
      <c r="E337" s="10" t="s">
        <v>31</v>
      </c>
      <c r="F337" s="10" t="s">
        <v>136</v>
      </c>
      <c r="G337" s="10" t="s">
        <v>19</v>
      </c>
      <c r="H337" s="7" t="s">
        <v>14</v>
      </c>
      <c r="I337" s="11">
        <v>2077</v>
      </c>
    </row>
    <row r="338" spans="1:9" x14ac:dyDescent="0.3">
      <c r="A338" s="2" t="s">
        <v>482</v>
      </c>
      <c r="B338" s="3">
        <v>46232</v>
      </c>
      <c r="C338" s="4">
        <f t="shared" si="5"/>
        <v>46204</v>
      </c>
      <c r="D338" s="5" t="s">
        <v>47</v>
      </c>
      <c r="E338" s="5" t="s">
        <v>130</v>
      </c>
      <c r="F338" s="5" t="s">
        <v>131</v>
      </c>
      <c r="G338" s="5" t="s">
        <v>36</v>
      </c>
      <c r="H338" s="2" t="s">
        <v>14</v>
      </c>
      <c r="I338" s="6">
        <v>1225</v>
      </c>
    </row>
    <row r="339" spans="1:9" x14ac:dyDescent="0.3">
      <c r="A339" s="7" t="s">
        <v>483</v>
      </c>
      <c r="B339" s="8">
        <v>46233</v>
      </c>
      <c r="C339" s="9">
        <f t="shared" si="5"/>
        <v>46204</v>
      </c>
      <c r="D339" s="10" t="s">
        <v>26</v>
      </c>
      <c r="E339" s="10" t="s">
        <v>67</v>
      </c>
      <c r="F339" s="10" t="s">
        <v>208</v>
      </c>
      <c r="G339" s="10" t="s">
        <v>19</v>
      </c>
      <c r="H339" s="7" t="s">
        <v>20</v>
      </c>
      <c r="I339" s="11">
        <v>264</v>
      </c>
    </row>
    <row r="340" spans="1:9" x14ac:dyDescent="0.3">
      <c r="A340" s="2" t="s">
        <v>484</v>
      </c>
      <c r="B340" s="3">
        <v>46233</v>
      </c>
      <c r="C340" s="4">
        <f t="shared" si="5"/>
        <v>46204</v>
      </c>
      <c r="D340" s="5" t="s">
        <v>16</v>
      </c>
      <c r="E340" s="5" t="s">
        <v>64</v>
      </c>
      <c r="F340" s="5" t="s">
        <v>325</v>
      </c>
      <c r="G340" s="5" t="s">
        <v>19</v>
      </c>
      <c r="H340" s="2" t="s">
        <v>20</v>
      </c>
      <c r="I340" s="6">
        <v>580</v>
      </c>
    </row>
    <row r="341" spans="1:9" x14ac:dyDescent="0.3">
      <c r="A341" s="7" t="s">
        <v>485</v>
      </c>
      <c r="B341" s="8">
        <v>46233</v>
      </c>
      <c r="C341" s="9">
        <f t="shared" si="5"/>
        <v>46204</v>
      </c>
      <c r="D341" s="10" t="s">
        <v>16</v>
      </c>
      <c r="E341" s="10" t="s">
        <v>44</v>
      </c>
      <c r="F341" s="10" t="s">
        <v>183</v>
      </c>
      <c r="G341" s="10" t="s">
        <v>19</v>
      </c>
      <c r="H341" s="7" t="s">
        <v>20</v>
      </c>
      <c r="I341" s="11">
        <v>863</v>
      </c>
    </row>
    <row r="342" spans="1:9" x14ac:dyDescent="0.3">
      <c r="A342" s="2" t="s">
        <v>486</v>
      </c>
      <c r="B342" s="3">
        <v>46235</v>
      </c>
      <c r="C342" s="4">
        <f t="shared" si="5"/>
        <v>46235</v>
      </c>
      <c r="D342" s="5" t="s">
        <v>10</v>
      </c>
      <c r="E342" s="5" t="s">
        <v>87</v>
      </c>
      <c r="F342" s="5" t="s">
        <v>119</v>
      </c>
      <c r="G342" s="5" t="s">
        <v>19</v>
      </c>
      <c r="H342" s="2" t="s">
        <v>14</v>
      </c>
      <c r="I342" s="6">
        <v>1637</v>
      </c>
    </row>
    <row r="343" spans="1:9" x14ac:dyDescent="0.3">
      <c r="A343" s="7" t="s">
        <v>487</v>
      </c>
      <c r="B343" s="8">
        <v>46238</v>
      </c>
      <c r="C343" s="9">
        <f t="shared" si="5"/>
        <v>46235</v>
      </c>
      <c r="D343" s="10" t="s">
        <v>51</v>
      </c>
      <c r="E343" s="10" t="s">
        <v>133</v>
      </c>
      <c r="F343" s="10" t="s">
        <v>451</v>
      </c>
      <c r="G343" s="10" t="s">
        <v>42</v>
      </c>
      <c r="H343" s="7" t="s">
        <v>14</v>
      </c>
      <c r="I343" s="11">
        <v>908</v>
      </c>
    </row>
    <row r="344" spans="1:9" x14ac:dyDescent="0.3">
      <c r="A344" s="2" t="s">
        <v>488</v>
      </c>
      <c r="B344" s="3">
        <v>46238</v>
      </c>
      <c r="C344" s="4">
        <f t="shared" si="5"/>
        <v>46235</v>
      </c>
      <c r="D344" s="5" t="s">
        <v>76</v>
      </c>
      <c r="E344" s="5" t="s">
        <v>103</v>
      </c>
      <c r="F344" s="5" t="s">
        <v>379</v>
      </c>
      <c r="G344" s="5" t="s">
        <v>19</v>
      </c>
      <c r="H344" s="2" t="s">
        <v>20</v>
      </c>
      <c r="I344" s="6">
        <v>637</v>
      </c>
    </row>
    <row r="345" spans="1:9" x14ac:dyDescent="0.3">
      <c r="A345" s="7" t="s">
        <v>489</v>
      </c>
      <c r="B345" s="8">
        <v>46239</v>
      </c>
      <c r="C345" s="9">
        <f t="shared" si="5"/>
        <v>46235</v>
      </c>
      <c r="D345" s="10" t="s">
        <v>76</v>
      </c>
      <c r="E345" s="10" t="s">
        <v>103</v>
      </c>
      <c r="F345" s="10" t="s">
        <v>379</v>
      </c>
      <c r="G345" s="10" t="s">
        <v>42</v>
      </c>
      <c r="H345" s="7" t="s">
        <v>20</v>
      </c>
      <c r="I345" s="11">
        <v>748</v>
      </c>
    </row>
    <row r="346" spans="1:9" x14ac:dyDescent="0.3">
      <c r="A346" s="2" t="s">
        <v>490</v>
      </c>
      <c r="B346" s="3">
        <v>46239</v>
      </c>
      <c r="C346" s="4">
        <f t="shared" si="5"/>
        <v>46235</v>
      </c>
      <c r="D346" s="5" t="s">
        <v>10</v>
      </c>
      <c r="E346" s="5" t="s">
        <v>11</v>
      </c>
      <c r="F346" s="5" t="s">
        <v>12</v>
      </c>
      <c r="G346" s="5" t="s">
        <v>13</v>
      </c>
      <c r="H346" s="2" t="s">
        <v>14</v>
      </c>
      <c r="I346" s="6">
        <v>8500</v>
      </c>
    </row>
    <row r="347" spans="1:9" x14ac:dyDescent="0.3">
      <c r="A347" s="7" t="s">
        <v>491</v>
      </c>
      <c r="B347" s="8">
        <v>46240</v>
      </c>
      <c r="C347" s="9">
        <f t="shared" si="5"/>
        <v>46235</v>
      </c>
      <c r="D347" s="10" t="s">
        <v>76</v>
      </c>
      <c r="E347" s="10" t="s">
        <v>223</v>
      </c>
      <c r="F347" s="10" t="s">
        <v>321</v>
      </c>
      <c r="G347" s="10" t="s">
        <v>58</v>
      </c>
      <c r="H347" s="7" t="s">
        <v>20</v>
      </c>
      <c r="I347" s="11">
        <v>965</v>
      </c>
    </row>
    <row r="348" spans="1:9" x14ac:dyDescent="0.3">
      <c r="A348" s="2" t="s">
        <v>492</v>
      </c>
      <c r="B348" s="3">
        <v>46240</v>
      </c>
      <c r="C348" s="4">
        <f t="shared" si="5"/>
        <v>46235</v>
      </c>
      <c r="D348" s="5" t="s">
        <v>47</v>
      </c>
      <c r="E348" s="5" t="s">
        <v>130</v>
      </c>
      <c r="F348" s="5" t="s">
        <v>227</v>
      </c>
      <c r="G348" s="5" t="s">
        <v>19</v>
      </c>
      <c r="H348" s="2" t="s">
        <v>14</v>
      </c>
      <c r="I348" s="6">
        <v>1054</v>
      </c>
    </row>
    <row r="349" spans="1:9" x14ac:dyDescent="0.3">
      <c r="A349" s="7" t="s">
        <v>493</v>
      </c>
      <c r="B349" s="8">
        <v>46241</v>
      </c>
      <c r="C349" s="9">
        <f t="shared" si="5"/>
        <v>46235</v>
      </c>
      <c r="D349" s="10" t="s">
        <v>76</v>
      </c>
      <c r="E349" s="10" t="s">
        <v>223</v>
      </c>
      <c r="F349" s="10" t="s">
        <v>321</v>
      </c>
      <c r="G349" s="10" t="s">
        <v>36</v>
      </c>
      <c r="H349" s="7" t="s">
        <v>20</v>
      </c>
      <c r="I349" s="11">
        <v>740</v>
      </c>
    </row>
    <row r="350" spans="1:9" x14ac:dyDescent="0.3">
      <c r="A350" s="2" t="s">
        <v>494</v>
      </c>
      <c r="B350" s="3">
        <v>46242</v>
      </c>
      <c r="C350" s="4">
        <f t="shared" si="5"/>
        <v>46235</v>
      </c>
      <c r="D350" s="5" t="s">
        <v>26</v>
      </c>
      <c r="E350" s="5" t="s">
        <v>67</v>
      </c>
      <c r="F350" s="5" t="s">
        <v>142</v>
      </c>
      <c r="G350" s="5" t="s">
        <v>19</v>
      </c>
      <c r="H350" s="2" t="s">
        <v>20</v>
      </c>
      <c r="I350" s="6">
        <v>161</v>
      </c>
    </row>
    <row r="351" spans="1:9" x14ac:dyDescent="0.3">
      <c r="A351" s="7" t="s">
        <v>495</v>
      </c>
      <c r="B351" s="8">
        <v>46243</v>
      </c>
      <c r="C351" s="9">
        <f t="shared" si="5"/>
        <v>46235</v>
      </c>
      <c r="D351" s="10" t="s">
        <v>76</v>
      </c>
      <c r="E351" s="10" t="s">
        <v>223</v>
      </c>
      <c r="F351" s="10" t="s">
        <v>474</v>
      </c>
      <c r="G351" s="10" t="s">
        <v>19</v>
      </c>
      <c r="H351" s="7" t="s">
        <v>20</v>
      </c>
      <c r="I351" s="11">
        <v>137</v>
      </c>
    </row>
    <row r="352" spans="1:9" x14ac:dyDescent="0.3">
      <c r="A352" s="2" t="s">
        <v>496</v>
      </c>
      <c r="B352" s="3">
        <v>46244</v>
      </c>
      <c r="C352" s="4">
        <f t="shared" si="5"/>
        <v>46235</v>
      </c>
      <c r="D352" s="5" t="s">
        <v>76</v>
      </c>
      <c r="E352" s="5" t="s">
        <v>223</v>
      </c>
      <c r="F352" s="5" t="s">
        <v>224</v>
      </c>
      <c r="G352" s="5" t="s">
        <v>13</v>
      </c>
      <c r="H352" s="2" t="s">
        <v>20</v>
      </c>
      <c r="I352" s="6">
        <v>1089</v>
      </c>
    </row>
    <row r="353" spans="1:9" x14ac:dyDescent="0.3">
      <c r="A353" s="7" t="s">
        <v>497</v>
      </c>
      <c r="B353" s="8">
        <v>46244</v>
      </c>
      <c r="C353" s="9">
        <f t="shared" si="5"/>
        <v>46235</v>
      </c>
      <c r="D353" s="10" t="s">
        <v>16</v>
      </c>
      <c r="E353" s="10" t="s">
        <v>44</v>
      </c>
      <c r="F353" s="10" t="s">
        <v>45</v>
      </c>
      <c r="G353" s="10" t="s">
        <v>19</v>
      </c>
      <c r="H353" s="7" t="s">
        <v>20</v>
      </c>
      <c r="I353" s="11">
        <v>1041</v>
      </c>
    </row>
    <row r="354" spans="1:9" x14ac:dyDescent="0.3">
      <c r="A354" s="2" t="s">
        <v>498</v>
      </c>
      <c r="B354" s="3">
        <v>46244</v>
      </c>
      <c r="C354" s="4">
        <f t="shared" si="5"/>
        <v>46235</v>
      </c>
      <c r="D354" s="5" t="s">
        <v>16</v>
      </c>
      <c r="E354" s="5" t="s">
        <v>44</v>
      </c>
      <c r="F354" s="5" t="s">
        <v>203</v>
      </c>
      <c r="G354" s="5" t="s">
        <v>36</v>
      </c>
      <c r="H354" s="2" t="s">
        <v>20</v>
      </c>
      <c r="I354" s="6">
        <v>334</v>
      </c>
    </row>
    <row r="355" spans="1:9" x14ac:dyDescent="0.3">
      <c r="A355" s="7" t="s">
        <v>499</v>
      </c>
      <c r="B355" s="8">
        <v>46244</v>
      </c>
      <c r="C355" s="9">
        <f t="shared" si="5"/>
        <v>46235</v>
      </c>
      <c r="D355" s="10" t="s">
        <v>16</v>
      </c>
      <c r="E355" s="10" t="s">
        <v>138</v>
      </c>
      <c r="F355" s="10" t="s">
        <v>500</v>
      </c>
      <c r="G355" s="10" t="s">
        <v>13</v>
      </c>
      <c r="H355" s="7" t="s">
        <v>20</v>
      </c>
      <c r="I355" s="11">
        <v>1225</v>
      </c>
    </row>
    <row r="356" spans="1:9" x14ac:dyDescent="0.3">
      <c r="A356" s="2" t="s">
        <v>501</v>
      </c>
      <c r="B356" s="3">
        <v>46245</v>
      </c>
      <c r="C356" s="4">
        <f t="shared" si="5"/>
        <v>46235</v>
      </c>
      <c r="D356" s="5" t="s">
        <v>47</v>
      </c>
      <c r="E356" s="5" t="s">
        <v>174</v>
      </c>
      <c r="F356" s="5" t="s">
        <v>175</v>
      </c>
      <c r="G356" s="5" t="s">
        <v>36</v>
      </c>
      <c r="H356" s="2" t="s">
        <v>14</v>
      </c>
      <c r="I356" s="6">
        <v>1060</v>
      </c>
    </row>
    <row r="357" spans="1:9" x14ac:dyDescent="0.3">
      <c r="A357" s="7" t="s">
        <v>502</v>
      </c>
      <c r="B357" s="8">
        <v>46246</v>
      </c>
      <c r="C357" s="9">
        <f t="shared" si="5"/>
        <v>46235</v>
      </c>
      <c r="D357" s="10" t="s">
        <v>16</v>
      </c>
      <c r="E357" s="10" t="s">
        <v>64</v>
      </c>
      <c r="F357" s="10" t="s">
        <v>65</v>
      </c>
      <c r="G357" s="10" t="s">
        <v>19</v>
      </c>
      <c r="H357" s="7" t="s">
        <v>20</v>
      </c>
      <c r="I357" s="11">
        <v>1180</v>
      </c>
    </row>
    <row r="358" spans="1:9" x14ac:dyDescent="0.3">
      <c r="A358" s="2" t="s">
        <v>503</v>
      </c>
      <c r="B358" s="3">
        <v>46246</v>
      </c>
      <c r="C358" s="4">
        <f t="shared" si="5"/>
        <v>46235</v>
      </c>
      <c r="D358" s="5" t="s">
        <v>47</v>
      </c>
      <c r="E358" s="5" t="s">
        <v>249</v>
      </c>
      <c r="F358" s="5" t="s">
        <v>250</v>
      </c>
      <c r="G358" s="5" t="s">
        <v>19</v>
      </c>
      <c r="H358" s="2" t="s">
        <v>14</v>
      </c>
      <c r="I358" s="6">
        <v>500</v>
      </c>
    </row>
    <row r="359" spans="1:9" x14ac:dyDescent="0.3">
      <c r="A359" s="7" t="s">
        <v>504</v>
      </c>
      <c r="B359" s="8">
        <v>46248</v>
      </c>
      <c r="C359" s="9">
        <f t="shared" si="5"/>
        <v>46235</v>
      </c>
      <c r="D359" s="10" t="s">
        <v>51</v>
      </c>
      <c r="E359" s="10" t="s">
        <v>52</v>
      </c>
      <c r="F359" s="10" t="s">
        <v>195</v>
      </c>
      <c r="G359" s="10" t="s">
        <v>19</v>
      </c>
      <c r="H359" s="7" t="s">
        <v>14</v>
      </c>
      <c r="I359" s="11">
        <v>629</v>
      </c>
    </row>
    <row r="360" spans="1:9" x14ac:dyDescent="0.3">
      <c r="A360" s="2" t="s">
        <v>505</v>
      </c>
      <c r="B360" s="3">
        <v>46249</v>
      </c>
      <c r="C360" s="4">
        <f t="shared" si="5"/>
        <v>46235</v>
      </c>
      <c r="D360" s="5" t="s">
        <v>26</v>
      </c>
      <c r="E360" s="5" t="s">
        <v>80</v>
      </c>
      <c r="F360" s="5" t="s">
        <v>93</v>
      </c>
      <c r="G360" s="5" t="s">
        <v>19</v>
      </c>
      <c r="H360" s="2" t="s">
        <v>20</v>
      </c>
      <c r="I360" s="6">
        <v>1317</v>
      </c>
    </row>
    <row r="361" spans="1:9" x14ac:dyDescent="0.3">
      <c r="A361" s="7" t="s">
        <v>506</v>
      </c>
      <c r="B361" s="8">
        <v>46249</v>
      </c>
      <c r="C361" s="9">
        <f t="shared" si="5"/>
        <v>46235</v>
      </c>
      <c r="D361" s="10" t="s">
        <v>16</v>
      </c>
      <c r="E361" s="10" t="s">
        <v>64</v>
      </c>
      <c r="F361" s="10" t="s">
        <v>325</v>
      </c>
      <c r="G361" s="10" t="s">
        <v>58</v>
      </c>
      <c r="H361" s="7" t="s">
        <v>20</v>
      </c>
      <c r="I361" s="11">
        <v>901</v>
      </c>
    </row>
    <row r="362" spans="1:9" x14ac:dyDescent="0.3">
      <c r="A362" s="2" t="s">
        <v>507</v>
      </c>
      <c r="B362" s="3">
        <v>46249</v>
      </c>
      <c r="C362" s="4">
        <f t="shared" si="5"/>
        <v>46235</v>
      </c>
      <c r="D362" s="5" t="s">
        <v>16</v>
      </c>
      <c r="E362" s="5" t="s">
        <v>64</v>
      </c>
      <c r="F362" s="5" t="s">
        <v>157</v>
      </c>
      <c r="G362" s="5" t="s">
        <v>19</v>
      </c>
      <c r="H362" s="2" t="s">
        <v>20</v>
      </c>
      <c r="I362" s="6">
        <v>413</v>
      </c>
    </row>
    <row r="363" spans="1:9" x14ac:dyDescent="0.3">
      <c r="A363" s="7" t="s">
        <v>508</v>
      </c>
      <c r="B363" s="8">
        <v>46250</v>
      </c>
      <c r="C363" s="9">
        <f t="shared" si="5"/>
        <v>46235</v>
      </c>
      <c r="D363" s="10" t="s">
        <v>22</v>
      </c>
      <c r="E363" s="10" t="s">
        <v>70</v>
      </c>
      <c r="F363" s="10" t="s">
        <v>71</v>
      </c>
      <c r="G363" s="10" t="s">
        <v>13</v>
      </c>
      <c r="H363" s="7" t="s">
        <v>20</v>
      </c>
      <c r="I363" s="11">
        <v>6024</v>
      </c>
    </row>
    <row r="364" spans="1:9" x14ac:dyDescent="0.3">
      <c r="A364" s="2" t="s">
        <v>509</v>
      </c>
      <c r="B364" s="3">
        <v>46251</v>
      </c>
      <c r="C364" s="4">
        <f t="shared" si="5"/>
        <v>46235</v>
      </c>
      <c r="D364" s="5" t="s">
        <v>30</v>
      </c>
      <c r="E364" s="5" t="s">
        <v>106</v>
      </c>
      <c r="F364" s="5" t="s">
        <v>107</v>
      </c>
      <c r="G364" s="5" t="s">
        <v>19</v>
      </c>
      <c r="H364" s="2" t="s">
        <v>14</v>
      </c>
      <c r="I364" s="6">
        <v>499</v>
      </c>
    </row>
    <row r="365" spans="1:9" x14ac:dyDescent="0.3">
      <c r="A365" s="7" t="s">
        <v>510</v>
      </c>
      <c r="B365" s="8">
        <v>46251</v>
      </c>
      <c r="C365" s="9">
        <f t="shared" si="5"/>
        <v>46235</v>
      </c>
      <c r="D365" s="10" t="s">
        <v>22</v>
      </c>
      <c r="E365" s="10" t="s">
        <v>23</v>
      </c>
      <c r="F365" s="10" t="s">
        <v>24</v>
      </c>
      <c r="G365" s="10" t="s">
        <v>36</v>
      </c>
      <c r="H365" s="7" t="s">
        <v>14</v>
      </c>
      <c r="I365" s="11">
        <v>118</v>
      </c>
    </row>
    <row r="366" spans="1:9" x14ac:dyDescent="0.3">
      <c r="A366" s="2" t="s">
        <v>511</v>
      </c>
      <c r="B366" s="3">
        <v>46252</v>
      </c>
      <c r="C366" s="4">
        <f t="shared" si="5"/>
        <v>46235</v>
      </c>
      <c r="D366" s="5" t="s">
        <v>47</v>
      </c>
      <c r="E366" s="5" t="s">
        <v>249</v>
      </c>
      <c r="F366" s="5" t="s">
        <v>279</v>
      </c>
      <c r="G366" s="5" t="s">
        <v>19</v>
      </c>
      <c r="H366" s="2" t="s">
        <v>14</v>
      </c>
      <c r="I366" s="6">
        <v>460</v>
      </c>
    </row>
    <row r="367" spans="1:9" x14ac:dyDescent="0.3">
      <c r="A367" s="7" t="s">
        <v>512</v>
      </c>
      <c r="B367" s="8">
        <v>46253</v>
      </c>
      <c r="C367" s="9">
        <f t="shared" si="5"/>
        <v>46235</v>
      </c>
      <c r="D367" s="10" t="s">
        <v>30</v>
      </c>
      <c r="E367" s="10" t="s">
        <v>106</v>
      </c>
      <c r="F367" s="10" t="s">
        <v>107</v>
      </c>
      <c r="G367" s="10" t="s">
        <v>58</v>
      </c>
      <c r="H367" s="7" t="s">
        <v>14</v>
      </c>
      <c r="I367" s="11">
        <v>1172</v>
      </c>
    </row>
    <row r="368" spans="1:9" x14ac:dyDescent="0.3">
      <c r="A368" s="2" t="s">
        <v>513</v>
      </c>
      <c r="B368" s="3">
        <v>46253</v>
      </c>
      <c r="C368" s="4">
        <f t="shared" si="5"/>
        <v>46235</v>
      </c>
      <c r="D368" s="5" t="s">
        <v>22</v>
      </c>
      <c r="E368" s="5" t="s">
        <v>70</v>
      </c>
      <c r="F368" s="5" t="s">
        <v>178</v>
      </c>
      <c r="G368" s="5" t="s">
        <v>19</v>
      </c>
      <c r="H368" s="2" t="s">
        <v>20</v>
      </c>
      <c r="I368" s="6">
        <v>2443</v>
      </c>
    </row>
    <row r="369" spans="1:9" x14ac:dyDescent="0.3">
      <c r="A369" s="7" t="s">
        <v>514</v>
      </c>
      <c r="B369" s="8">
        <v>46253</v>
      </c>
      <c r="C369" s="9">
        <f t="shared" si="5"/>
        <v>46235</v>
      </c>
      <c r="D369" s="10" t="s">
        <v>22</v>
      </c>
      <c r="E369" s="10" t="s">
        <v>73</v>
      </c>
      <c r="F369" s="10" t="s">
        <v>74</v>
      </c>
      <c r="G369" s="10" t="s">
        <v>36</v>
      </c>
      <c r="H369" s="7" t="s">
        <v>14</v>
      </c>
      <c r="I369" s="11">
        <v>1175</v>
      </c>
    </row>
    <row r="370" spans="1:9" x14ac:dyDescent="0.3">
      <c r="A370" s="2" t="s">
        <v>515</v>
      </c>
      <c r="B370" s="3">
        <v>46254</v>
      </c>
      <c r="C370" s="4">
        <f t="shared" si="5"/>
        <v>46235</v>
      </c>
      <c r="D370" s="5" t="s">
        <v>16</v>
      </c>
      <c r="E370" s="5" t="s">
        <v>17</v>
      </c>
      <c r="F370" s="5" t="s">
        <v>295</v>
      </c>
      <c r="G370" s="5" t="s">
        <v>19</v>
      </c>
      <c r="H370" s="2" t="s">
        <v>20</v>
      </c>
      <c r="I370" s="6">
        <v>575</v>
      </c>
    </row>
    <row r="371" spans="1:9" x14ac:dyDescent="0.3">
      <c r="A371" s="7" t="s">
        <v>516</v>
      </c>
      <c r="B371" s="8">
        <v>46255</v>
      </c>
      <c r="C371" s="9">
        <f t="shared" si="5"/>
        <v>46235</v>
      </c>
      <c r="D371" s="10" t="s">
        <v>26</v>
      </c>
      <c r="E371" s="10" t="s">
        <v>27</v>
      </c>
      <c r="F371" s="10" t="s">
        <v>62</v>
      </c>
      <c r="G371" s="10" t="s">
        <v>13</v>
      </c>
      <c r="H371" s="7" t="s">
        <v>20</v>
      </c>
      <c r="I371" s="11">
        <v>414</v>
      </c>
    </row>
    <row r="372" spans="1:9" x14ac:dyDescent="0.3">
      <c r="A372" s="2" t="s">
        <v>517</v>
      </c>
      <c r="B372" s="3">
        <v>46255</v>
      </c>
      <c r="C372" s="4">
        <f t="shared" si="5"/>
        <v>46235</v>
      </c>
      <c r="D372" s="5" t="s">
        <v>10</v>
      </c>
      <c r="E372" s="5" t="s">
        <v>34</v>
      </c>
      <c r="F372" s="5" t="s">
        <v>35</v>
      </c>
      <c r="G372" s="5" t="s">
        <v>19</v>
      </c>
      <c r="H372" s="2" t="s">
        <v>14</v>
      </c>
      <c r="I372" s="6">
        <v>901</v>
      </c>
    </row>
    <row r="373" spans="1:9" x14ac:dyDescent="0.3">
      <c r="A373" s="7" t="s">
        <v>518</v>
      </c>
      <c r="B373" s="8">
        <v>46255</v>
      </c>
      <c r="C373" s="9">
        <f t="shared" si="5"/>
        <v>46235</v>
      </c>
      <c r="D373" s="10" t="s">
        <v>22</v>
      </c>
      <c r="E373" s="10" t="s">
        <v>73</v>
      </c>
      <c r="F373" s="10" t="s">
        <v>110</v>
      </c>
      <c r="G373" s="10" t="s">
        <v>19</v>
      </c>
      <c r="H373" s="7" t="s">
        <v>14</v>
      </c>
      <c r="I373" s="11">
        <v>669</v>
      </c>
    </row>
    <row r="374" spans="1:9" x14ac:dyDescent="0.3">
      <c r="A374" s="2" t="s">
        <v>519</v>
      </c>
      <c r="B374" s="3">
        <v>46255</v>
      </c>
      <c r="C374" s="4">
        <f t="shared" si="5"/>
        <v>46235</v>
      </c>
      <c r="D374" s="5" t="s">
        <v>22</v>
      </c>
      <c r="E374" s="5" t="s">
        <v>70</v>
      </c>
      <c r="F374" s="5" t="s">
        <v>71</v>
      </c>
      <c r="G374" s="5" t="s">
        <v>36</v>
      </c>
      <c r="H374" s="2" t="s">
        <v>20</v>
      </c>
      <c r="I374" s="6">
        <v>6295</v>
      </c>
    </row>
    <row r="375" spans="1:9" x14ac:dyDescent="0.3">
      <c r="A375" s="7" t="s">
        <v>520</v>
      </c>
      <c r="B375" s="8">
        <v>46256</v>
      </c>
      <c r="C375" s="9">
        <f t="shared" si="5"/>
        <v>46235</v>
      </c>
      <c r="D375" s="10" t="s">
        <v>16</v>
      </c>
      <c r="E375" s="10" t="s">
        <v>64</v>
      </c>
      <c r="F375" s="10" t="s">
        <v>325</v>
      </c>
      <c r="G375" s="10" t="s">
        <v>19</v>
      </c>
      <c r="H375" s="7" t="s">
        <v>20</v>
      </c>
      <c r="I375" s="11">
        <v>852</v>
      </c>
    </row>
    <row r="376" spans="1:9" x14ac:dyDescent="0.3">
      <c r="A376" s="2" t="s">
        <v>521</v>
      </c>
      <c r="B376" s="3">
        <v>46256</v>
      </c>
      <c r="C376" s="4">
        <f t="shared" si="5"/>
        <v>46235</v>
      </c>
      <c r="D376" s="5" t="s">
        <v>16</v>
      </c>
      <c r="E376" s="5" t="s">
        <v>138</v>
      </c>
      <c r="F376" s="5" t="s">
        <v>500</v>
      </c>
      <c r="G376" s="5" t="s">
        <v>19</v>
      </c>
      <c r="H376" s="2" t="s">
        <v>20</v>
      </c>
      <c r="I376" s="6">
        <v>4324</v>
      </c>
    </row>
    <row r="377" spans="1:9" x14ac:dyDescent="0.3">
      <c r="A377" s="7" t="s">
        <v>522</v>
      </c>
      <c r="B377" s="8">
        <v>46259</v>
      </c>
      <c r="C377" s="9">
        <f t="shared" si="5"/>
        <v>46235</v>
      </c>
      <c r="D377" s="10" t="s">
        <v>26</v>
      </c>
      <c r="E377" s="10" t="s">
        <v>27</v>
      </c>
      <c r="F377" s="10" t="s">
        <v>62</v>
      </c>
      <c r="G377" s="10" t="s">
        <v>19</v>
      </c>
      <c r="H377" s="7" t="s">
        <v>20</v>
      </c>
      <c r="I377" s="11">
        <v>231</v>
      </c>
    </row>
    <row r="378" spans="1:9" x14ac:dyDescent="0.3">
      <c r="A378" s="2" t="s">
        <v>523</v>
      </c>
      <c r="B378" s="3">
        <v>46260</v>
      </c>
      <c r="C378" s="4">
        <f t="shared" si="5"/>
        <v>46235</v>
      </c>
      <c r="D378" s="5" t="s">
        <v>51</v>
      </c>
      <c r="E378" s="5" t="s">
        <v>133</v>
      </c>
      <c r="F378" s="5" t="s">
        <v>134</v>
      </c>
      <c r="G378" s="5" t="s">
        <v>36</v>
      </c>
      <c r="H378" s="2" t="s">
        <v>14</v>
      </c>
      <c r="I378" s="6">
        <v>1134</v>
      </c>
    </row>
    <row r="379" spans="1:9" x14ac:dyDescent="0.3">
      <c r="A379" s="7" t="s">
        <v>524</v>
      </c>
      <c r="B379" s="8">
        <v>46261</v>
      </c>
      <c r="C379" s="9">
        <f t="shared" si="5"/>
        <v>46235</v>
      </c>
      <c r="D379" s="10" t="s">
        <v>76</v>
      </c>
      <c r="E379" s="10" t="s">
        <v>77</v>
      </c>
      <c r="F379" s="10" t="s">
        <v>525</v>
      </c>
      <c r="G379" s="10" t="s">
        <v>42</v>
      </c>
      <c r="H379" s="7" t="s">
        <v>20</v>
      </c>
      <c r="I379" s="11">
        <v>986</v>
      </c>
    </row>
    <row r="380" spans="1:9" x14ac:dyDescent="0.3">
      <c r="A380" s="2" t="s">
        <v>526</v>
      </c>
      <c r="B380" s="3">
        <v>46261</v>
      </c>
      <c r="C380" s="4">
        <f t="shared" si="5"/>
        <v>46235</v>
      </c>
      <c r="D380" s="5" t="s">
        <v>26</v>
      </c>
      <c r="E380" s="5" t="s">
        <v>80</v>
      </c>
      <c r="F380" s="5" t="s">
        <v>100</v>
      </c>
      <c r="G380" s="5" t="s">
        <v>19</v>
      </c>
      <c r="H380" s="2" t="s">
        <v>20</v>
      </c>
      <c r="I380" s="6">
        <v>707</v>
      </c>
    </row>
    <row r="381" spans="1:9" x14ac:dyDescent="0.3">
      <c r="A381" s="7" t="s">
        <v>527</v>
      </c>
      <c r="B381" s="8">
        <v>46261</v>
      </c>
      <c r="C381" s="9">
        <f t="shared" si="5"/>
        <v>46235</v>
      </c>
      <c r="D381" s="10" t="s">
        <v>26</v>
      </c>
      <c r="E381" s="10" t="s">
        <v>38</v>
      </c>
      <c r="F381" s="10" t="s">
        <v>55</v>
      </c>
      <c r="G381" s="10" t="s">
        <v>36</v>
      </c>
      <c r="H381" s="7" t="s">
        <v>14</v>
      </c>
      <c r="I381" s="11">
        <v>1764</v>
      </c>
    </row>
    <row r="382" spans="1:9" x14ac:dyDescent="0.3">
      <c r="A382" s="2" t="s">
        <v>528</v>
      </c>
      <c r="B382" s="3">
        <v>46261</v>
      </c>
      <c r="C382" s="4">
        <f t="shared" si="5"/>
        <v>46235</v>
      </c>
      <c r="D382" s="5" t="s">
        <v>16</v>
      </c>
      <c r="E382" s="5" t="s">
        <v>44</v>
      </c>
      <c r="F382" s="5" t="s">
        <v>45</v>
      </c>
      <c r="G382" s="5" t="s">
        <v>19</v>
      </c>
      <c r="H382" s="2" t="s">
        <v>20</v>
      </c>
      <c r="I382" s="6">
        <v>294</v>
      </c>
    </row>
    <row r="383" spans="1:9" x14ac:dyDescent="0.3">
      <c r="A383" s="7" t="s">
        <v>529</v>
      </c>
      <c r="B383" s="8">
        <v>46261</v>
      </c>
      <c r="C383" s="9">
        <f t="shared" si="5"/>
        <v>46235</v>
      </c>
      <c r="D383" s="10" t="s">
        <v>47</v>
      </c>
      <c r="E383" s="10" t="s">
        <v>174</v>
      </c>
      <c r="F383" s="10" t="s">
        <v>175</v>
      </c>
      <c r="G383" s="10" t="s">
        <v>58</v>
      </c>
      <c r="H383" s="7" t="s">
        <v>14</v>
      </c>
      <c r="I383" s="11">
        <v>779</v>
      </c>
    </row>
    <row r="384" spans="1:9" x14ac:dyDescent="0.3">
      <c r="A384" s="2" t="s">
        <v>530</v>
      </c>
      <c r="B384" s="3">
        <v>46262</v>
      </c>
      <c r="C384" s="4">
        <f t="shared" si="5"/>
        <v>46235</v>
      </c>
      <c r="D384" s="5" t="s">
        <v>16</v>
      </c>
      <c r="E384" s="5" t="s">
        <v>17</v>
      </c>
      <c r="F384" s="5" t="s">
        <v>295</v>
      </c>
      <c r="G384" s="5" t="s">
        <v>19</v>
      </c>
      <c r="H384" s="2" t="s">
        <v>20</v>
      </c>
      <c r="I384" s="6">
        <v>1532</v>
      </c>
    </row>
    <row r="385" spans="1:9" x14ac:dyDescent="0.3">
      <c r="A385" s="7" t="s">
        <v>531</v>
      </c>
      <c r="B385" s="8">
        <v>46262</v>
      </c>
      <c r="C385" s="9">
        <f t="shared" si="5"/>
        <v>46235</v>
      </c>
      <c r="D385" s="10" t="s">
        <v>47</v>
      </c>
      <c r="E385" s="10" t="s">
        <v>174</v>
      </c>
      <c r="F385" s="10" t="s">
        <v>175</v>
      </c>
      <c r="G385" s="10" t="s">
        <v>36</v>
      </c>
      <c r="H385" s="7" t="s">
        <v>14</v>
      </c>
      <c r="I385" s="11">
        <v>883</v>
      </c>
    </row>
    <row r="386" spans="1:9" x14ac:dyDescent="0.3">
      <c r="A386" s="2" t="s">
        <v>532</v>
      </c>
      <c r="B386" s="3">
        <v>46264</v>
      </c>
      <c r="C386" s="4">
        <f t="shared" ref="C386:C421" si="6">DATE(YEAR(B386),MONTH(B386),1)</f>
        <v>46235</v>
      </c>
      <c r="D386" s="5" t="s">
        <v>30</v>
      </c>
      <c r="E386" s="5" t="s">
        <v>127</v>
      </c>
      <c r="F386" s="5" t="s">
        <v>128</v>
      </c>
      <c r="G386" s="5" t="s">
        <v>19</v>
      </c>
      <c r="H386" s="2" t="s">
        <v>20</v>
      </c>
      <c r="I386" s="6">
        <v>864</v>
      </c>
    </row>
    <row r="387" spans="1:9" x14ac:dyDescent="0.3">
      <c r="A387" s="7" t="s">
        <v>533</v>
      </c>
      <c r="B387" s="8">
        <v>46264</v>
      </c>
      <c r="C387" s="9">
        <f t="shared" si="6"/>
        <v>46235</v>
      </c>
      <c r="D387" s="10" t="s">
        <v>10</v>
      </c>
      <c r="E387" s="10" t="s">
        <v>87</v>
      </c>
      <c r="F387" s="10" t="s">
        <v>88</v>
      </c>
      <c r="G387" s="10" t="s">
        <v>19</v>
      </c>
      <c r="H387" s="7" t="s">
        <v>14</v>
      </c>
      <c r="I387" s="11">
        <v>1168</v>
      </c>
    </row>
    <row r="388" spans="1:9" x14ac:dyDescent="0.3">
      <c r="A388" s="2" t="s">
        <v>534</v>
      </c>
      <c r="B388" s="3">
        <v>46266</v>
      </c>
      <c r="C388" s="4">
        <f t="shared" si="6"/>
        <v>46266</v>
      </c>
      <c r="D388" s="5" t="s">
        <v>22</v>
      </c>
      <c r="E388" s="5" t="s">
        <v>70</v>
      </c>
      <c r="F388" s="5" t="s">
        <v>197</v>
      </c>
      <c r="G388" s="5" t="s">
        <v>58</v>
      </c>
      <c r="H388" s="2" t="s">
        <v>20</v>
      </c>
      <c r="I388" s="6">
        <v>4536</v>
      </c>
    </row>
    <row r="389" spans="1:9" x14ac:dyDescent="0.3">
      <c r="A389" s="7" t="s">
        <v>535</v>
      </c>
      <c r="B389" s="8">
        <v>46266</v>
      </c>
      <c r="C389" s="9">
        <f t="shared" si="6"/>
        <v>46266</v>
      </c>
      <c r="D389" s="10" t="s">
        <v>47</v>
      </c>
      <c r="E389" s="10" t="s">
        <v>48</v>
      </c>
      <c r="F389" s="10" t="s">
        <v>57</v>
      </c>
      <c r="G389" s="10" t="s">
        <v>19</v>
      </c>
      <c r="H389" s="7" t="s">
        <v>14</v>
      </c>
      <c r="I389" s="11">
        <v>509</v>
      </c>
    </row>
    <row r="390" spans="1:9" x14ac:dyDescent="0.3">
      <c r="A390" s="2" t="s">
        <v>536</v>
      </c>
      <c r="B390" s="3">
        <v>46267</v>
      </c>
      <c r="C390" s="4">
        <f t="shared" si="6"/>
        <v>46266</v>
      </c>
      <c r="D390" s="5" t="s">
        <v>16</v>
      </c>
      <c r="E390" s="5" t="s">
        <v>138</v>
      </c>
      <c r="F390" s="5" t="s">
        <v>500</v>
      </c>
      <c r="G390" s="5" t="s">
        <v>36</v>
      </c>
      <c r="H390" s="2" t="s">
        <v>20</v>
      </c>
      <c r="I390" s="6">
        <v>5345</v>
      </c>
    </row>
    <row r="391" spans="1:9" x14ac:dyDescent="0.3">
      <c r="A391" s="7" t="s">
        <v>537</v>
      </c>
      <c r="B391" s="8">
        <v>46268</v>
      </c>
      <c r="C391" s="9">
        <f t="shared" si="6"/>
        <v>46266</v>
      </c>
      <c r="D391" s="10" t="s">
        <v>76</v>
      </c>
      <c r="E391" s="10" t="s">
        <v>97</v>
      </c>
      <c r="F391" s="10" t="s">
        <v>98</v>
      </c>
      <c r="G391" s="10" t="s">
        <v>19</v>
      </c>
      <c r="H391" s="7" t="s">
        <v>20</v>
      </c>
      <c r="I391" s="11">
        <v>435</v>
      </c>
    </row>
    <row r="392" spans="1:9" x14ac:dyDescent="0.3">
      <c r="A392" s="2" t="s">
        <v>538</v>
      </c>
      <c r="B392" s="3">
        <v>46268</v>
      </c>
      <c r="C392" s="4">
        <f t="shared" si="6"/>
        <v>46266</v>
      </c>
      <c r="D392" s="5" t="s">
        <v>26</v>
      </c>
      <c r="E392" s="5" t="s">
        <v>38</v>
      </c>
      <c r="F392" s="5" t="s">
        <v>55</v>
      </c>
      <c r="G392" s="5" t="s">
        <v>19</v>
      </c>
      <c r="H392" s="2" t="s">
        <v>14</v>
      </c>
      <c r="I392" s="6">
        <v>1431</v>
      </c>
    </row>
    <row r="393" spans="1:9" x14ac:dyDescent="0.3">
      <c r="A393" s="7" t="s">
        <v>539</v>
      </c>
      <c r="B393" s="8">
        <v>46270</v>
      </c>
      <c r="C393" s="9">
        <f t="shared" si="6"/>
        <v>46266</v>
      </c>
      <c r="D393" s="10" t="s">
        <v>10</v>
      </c>
      <c r="E393" s="10" t="s">
        <v>11</v>
      </c>
      <c r="F393" s="10" t="s">
        <v>12</v>
      </c>
      <c r="G393" s="10" t="s">
        <v>13</v>
      </c>
      <c r="H393" s="7" t="s">
        <v>14</v>
      </c>
      <c r="I393" s="11">
        <v>8500</v>
      </c>
    </row>
    <row r="394" spans="1:9" x14ac:dyDescent="0.3">
      <c r="A394" s="2" t="s">
        <v>540</v>
      </c>
      <c r="B394" s="3">
        <v>46270</v>
      </c>
      <c r="C394" s="4">
        <f t="shared" si="6"/>
        <v>46266</v>
      </c>
      <c r="D394" s="5" t="s">
        <v>22</v>
      </c>
      <c r="E394" s="5" t="s">
        <v>122</v>
      </c>
      <c r="F394" s="5" t="s">
        <v>293</v>
      </c>
      <c r="G394" s="5" t="s">
        <v>19</v>
      </c>
      <c r="H394" s="2" t="s">
        <v>20</v>
      </c>
      <c r="I394" s="6">
        <v>363</v>
      </c>
    </row>
    <row r="395" spans="1:9" x14ac:dyDescent="0.3">
      <c r="A395" s="7" t="s">
        <v>541</v>
      </c>
      <c r="B395" s="8">
        <v>46273</v>
      </c>
      <c r="C395" s="9">
        <f t="shared" si="6"/>
        <v>46266</v>
      </c>
      <c r="D395" s="10" t="s">
        <v>47</v>
      </c>
      <c r="E395" s="10" t="s">
        <v>174</v>
      </c>
      <c r="F395" s="10" t="s">
        <v>335</v>
      </c>
      <c r="G395" s="10" t="s">
        <v>19</v>
      </c>
      <c r="H395" s="7" t="s">
        <v>14</v>
      </c>
      <c r="I395" s="11">
        <v>558</v>
      </c>
    </row>
    <row r="396" spans="1:9" x14ac:dyDescent="0.3">
      <c r="A396" s="2" t="s">
        <v>542</v>
      </c>
      <c r="B396" s="3">
        <v>46274</v>
      </c>
      <c r="C396" s="4">
        <f t="shared" si="6"/>
        <v>46266</v>
      </c>
      <c r="D396" s="5" t="s">
        <v>10</v>
      </c>
      <c r="E396" s="5" t="s">
        <v>34</v>
      </c>
      <c r="F396" s="5" t="s">
        <v>35</v>
      </c>
      <c r="G396" s="5" t="s">
        <v>19</v>
      </c>
      <c r="H396" s="2" t="s">
        <v>14</v>
      </c>
      <c r="I396" s="6">
        <v>694</v>
      </c>
    </row>
    <row r="397" spans="1:9" x14ac:dyDescent="0.3">
      <c r="A397" s="7" t="s">
        <v>543</v>
      </c>
      <c r="B397" s="8">
        <v>46277</v>
      </c>
      <c r="C397" s="9">
        <f t="shared" si="6"/>
        <v>46266</v>
      </c>
      <c r="D397" s="10" t="s">
        <v>22</v>
      </c>
      <c r="E397" s="10" t="s">
        <v>70</v>
      </c>
      <c r="F397" s="10" t="s">
        <v>197</v>
      </c>
      <c r="G397" s="10" t="s">
        <v>19</v>
      </c>
      <c r="H397" s="7" t="s">
        <v>20</v>
      </c>
      <c r="I397" s="11">
        <v>5316</v>
      </c>
    </row>
    <row r="398" spans="1:9" x14ac:dyDescent="0.3">
      <c r="A398" s="2" t="s">
        <v>544</v>
      </c>
      <c r="B398" s="3">
        <v>46278</v>
      </c>
      <c r="C398" s="4">
        <f t="shared" si="6"/>
        <v>46266</v>
      </c>
      <c r="D398" s="5" t="s">
        <v>76</v>
      </c>
      <c r="E398" s="5" t="s">
        <v>97</v>
      </c>
      <c r="F398" s="5" t="s">
        <v>98</v>
      </c>
      <c r="G398" s="5" t="s">
        <v>19</v>
      </c>
      <c r="H398" s="2" t="s">
        <v>20</v>
      </c>
      <c r="I398" s="6">
        <v>391</v>
      </c>
    </row>
    <row r="399" spans="1:9" x14ac:dyDescent="0.3">
      <c r="A399" s="7" t="s">
        <v>545</v>
      </c>
      <c r="B399" s="8">
        <v>46278</v>
      </c>
      <c r="C399" s="9">
        <f t="shared" si="6"/>
        <v>46266</v>
      </c>
      <c r="D399" s="10" t="s">
        <v>26</v>
      </c>
      <c r="E399" s="10" t="s">
        <v>67</v>
      </c>
      <c r="F399" s="10" t="s">
        <v>192</v>
      </c>
      <c r="G399" s="10" t="s">
        <v>42</v>
      </c>
      <c r="H399" s="7" t="s">
        <v>20</v>
      </c>
      <c r="I399" s="11">
        <v>218</v>
      </c>
    </row>
    <row r="400" spans="1:9" x14ac:dyDescent="0.3">
      <c r="A400" s="2" t="s">
        <v>546</v>
      </c>
      <c r="B400" s="3">
        <v>46278</v>
      </c>
      <c r="C400" s="4">
        <f t="shared" si="6"/>
        <v>46266</v>
      </c>
      <c r="D400" s="5" t="s">
        <v>22</v>
      </c>
      <c r="E400" s="5" t="s">
        <v>73</v>
      </c>
      <c r="F400" s="5" t="s">
        <v>110</v>
      </c>
      <c r="G400" s="5" t="s">
        <v>58</v>
      </c>
      <c r="H400" s="2" t="s">
        <v>14</v>
      </c>
      <c r="I400" s="6">
        <v>370</v>
      </c>
    </row>
    <row r="401" spans="1:9" x14ac:dyDescent="0.3">
      <c r="A401" s="7" t="s">
        <v>547</v>
      </c>
      <c r="B401" s="8">
        <v>46279</v>
      </c>
      <c r="C401" s="9">
        <f t="shared" si="6"/>
        <v>46266</v>
      </c>
      <c r="D401" s="10" t="s">
        <v>51</v>
      </c>
      <c r="E401" s="10" t="s">
        <v>205</v>
      </c>
      <c r="F401" s="10" t="s">
        <v>469</v>
      </c>
      <c r="G401" s="10" t="s">
        <v>13</v>
      </c>
      <c r="H401" s="7" t="s">
        <v>20</v>
      </c>
      <c r="I401" s="11">
        <v>716</v>
      </c>
    </row>
    <row r="402" spans="1:9" x14ac:dyDescent="0.3">
      <c r="A402" s="2" t="s">
        <v>548</v>
      </c>
      <c r="B402" s="3">
        <v>46279</v>
      </c>
      <c r="C402" s="4">
        <f t="shared" si="6"/>
        <v>46266</v>
      </c>
      <c r="D402" s="5" t="s">
        <v>26</v>
      </c>
      <c r="E402" s="5" t="s">
        <v>38</v>
      </c>
      <c r="F402" s="5" t="s">
        <v>60</v>
      </c>
      <c r="G402" s="5" t="s">
        <v>19</v>
      </c>
      <c r="H402" s="2" t="s">
        <v>14</v>
      </c>
      <c r="I402" s="6">
        <v>677</v>
      </c>
    </row>
    <row r="403" spans="1:9" x14ac:dyDescent="0.3">
      <c r="A403" s="7" t="s">
        <v>549</v>
      </c>
      <c r="B403" s="8">
        <v>46279</v>
      </c>
      <c r="C403" s="9">
        <f t="shared" si="6"/>
        <v>46266</v>
      </c>
      <c r="D403" s="10" t="s">
        <v>22</v>
      </c>
      <c r="E403" s="10" t="s">
        <v>70</v>
      </c>
      <c r="F403" s="10" t="s">
        <v>71</v>
      </c>
      <c r="G403" s="10" t="s">
        <v>19</v>
      </c>
      <c r="H403" s="7" t="s">
        <v>20</v>
      </c>
      <c r="I403" s="11">
        <v>4682</v>
      </c>
    </row>
    <row r="404" spans="1:9" x14ac:dyDescent="0.3">
      <c r="A404" s="2" t="s">
        <v>550</v>
      </c>
      <c r="B404" s="3">
        <v>46280</v>
      </c>
      <c r="C404" s="4">
        <f t="shared" si="6"/>
        <v>46266</v>
      </c>
      <c r="D404" s="5" t="s">
        <v>26</v>
      </c>
      <c r="E404" s="5" t="s">
        <v>80</v>
      </c>
      <c r="F404" s="5" t="s">
        <v>81</v>
      </c>
      <c r="G404" s="5" t="s">
        <v>42</v>
      </c>
      <c r="H404" s="2" t="s">
        <v>20</v>
      </c>
      <c r="I404" s="6">
        <v>1194</v>
      </c>
    </row>
    <row r="405" spans="1:9" x14ac:dyDescent="0.3">
      <c r="A405" s="7" t="s">
        <v>551</v>
      </c>
      <c r="B405" s="8">
        <v>46280</v>
      </c>
      <c r="C405" s="9">
        <f t="shared" si="6"/>
        <v>46266</v>
      </c>
      <c r="D405" s="10" t="s">
        <v>16</v>
      </c>
      <c r="E405" s="10" t="s">
        <v>17</v>
      </c>
      <c r="F405" s="10" t="s">
        <v>295</v>
      </c>
      <c r="G405" s="10" t="s">
        <v>58</v>
      </c>
      <c r="H405" s="7" t="s">
        <v>20</v>
      </c>
      <c r="I405" s="11">
        <v>2617</v>
      </c>
    </row>
    <row r="406" spans="1:9" x14ac:dyDescent="0.3">
      <c r="A406" s="2" t="s">
        <v>552</v>
      </c>
      <c r="B406" s="3">
        <v>46280</v>
      </c>
      <c r="C406" s="4">
        <f t="shared" si="6"/>
        <v>46266</v>
      </c>
      <c r="D406" s="5" t="s">
        <v>47</v>
      </c>
      <c r="E406" s="5" t="s">
        <v>174</v>
      </c>
      <c r="F406" s="5" t="s">
        <v>175</v>
      </c>
      <c r="G406" s="5" t="s">
        <v>19</v>
      </c>
      <c r="H406" s="2" t="s">
        <v>14</v>
      </c>
      <c r="I406" s="6">
        <v>1027</v>
      </c>
    </row>
    <row r="407" spans="1:9" x14ac:dyDescent="0.3">
      <c r="A407" s="7" t="s">
        <v>553</v>
      </c>
      <c r="B407" s="8">
        <v>46280</v>
      </c>
      <c r="C407" s="9">
        <f t="shared" si="6"/>
        <v>46266</v>
      </c>
      <c r="D407" s="10" t="s">
        <v>47</v>
      </c>
      <c r="E407" s="10" t="s">
        <v>130</v>
      </c>
      <c r="F407" s="10" t="s">
        <v>227</v>
      </c>
      <c r="G407" s="10" t="s">
        <v>19</v>
      </c>
      <c r="H407" s="7" t="s">
        <v>14</v>
      </c>
      <c r="I407" s="11">
        <v>1293</v>
      </c>
    </row>
    <row r="408" spans="1:9" x14ac:dyDescent="0.3">
      <c r="A408" s="2" t="s">
        <v>554</v>
      </c>
      <c r="B408" s="3">
        <v>46281</v>
      </c>
      <c r="C408" s="4">
        <f t="shared" si="6"/>
        <v>46266</v>
      </c>
      <c r="D408" s="5" t="s">
        <v>26</v>
      </c>
      <c r="E408" s="5" t="s">
        <v>27</v>
      </c>
      <c r="F408" s="5" t="s">
        <v>241</v>
      </c>
      <c r="G408" s="5" t="s">
        <v>19</v>
      </c>
      <c r="H408" s="2" t="s">
        <v>20</v>
      </c>
      <c r="I408" s="6">
        <v>127</v>
      </c>
    </row>
    <row r="409" spans="1:9" x14ac:dyDescent="0.3">
      <c r="A409" s="7" t="s">
        <v>555</v>
      </c>
      <c r="B409" s="8">
        <v>46282</v>
      </c>
      <c r="C409" s="9">
        <f t="shared" si="6"/>
        <v>46266</v>
      </c>
      <c r="D409" s="10" t="s">
        <v>16</v>
      </c>
      <c r="E409" s="10" t="s">
        <v>138</v>
      </c>
      <c r="F409" s="10" t="s">
        <v>500</v>
      </c>
      <c r="G409" s="10" t="s">
        <v>19</v>
      </c>
      <c r="H409" s="7" t="s">
        <v>20</v>
      </c>
      <c r="I409" s="11">
        <v>1320</v>
      </c>
    </row>
    <row r="410" spans="1:9" x14ac:dyDescent="0.3">
      <c r="A410" s="2" t="s">
        <v>556</v>
      </c>
      <c r="B410" s="3">
        <v>46284</v>
      </c>
      <c r="C410" s="4">
        <f t="shared" si="6"/>
        <v>46266</v>
      </c>
      <c r="D410" s="5" t="s">
        <v>26</v>
      </c>
      <c r="E410" s="5" t="s">
        <v>27</v>
      </c>
      <c r="F410" s="5" t="s">
        <v>241</v>
      </c>
      <c r="G410" s="5" t="s">
        <v>36</v>
      </c>
      <c r="H410" s="2" t="s">
        <v>20</v>
      </c>
      <c r="I410" s="6">
        <v>448</v>
      </c>
    </row>
    <row r="411" spans="1:9" x14ac:dyDescent="0.3">
      <c r="A411" s="7" t="s">
        <v>557</v>
      </c>
      <c r="B411" s="8">
        <v>46286</v>
      </c>
      <c r="C411" s="9">
        <f t="shared" si="6"/>
        <v>46266</v>
      </c>
      <c r="D411" s="10" t="s">
        <v>51</v>
      </c>
      <c r="E411" s="10" t="s">
        <v>180</v>
      </c>
      <c r="F411" s="10" t="s">
        <v>181</v>
      </c>
      <c r="G411" s="10" t="s">
        <v>19</v>
      </c>
      <c r="H411" s="7" t="s">
        <v>14</v>
      </c>
      <c r="I411" s="11">
        <v>1631</v>
      </c>
    </row>
    <row r="412" spans="1:9" x14ac:dyDescent="0.3">
      <c r="A412" s="2" t="s">
        <v>558</v>
      </c>
      <c r="B412" s="3">
        <v>46286</v>
      </c>
      <c r="C412" s="4">
        <f t="shared" si="6"/>
        <v>46266</v>
      </c>
      <c r="D412" s="5" t="s">
        <v>26</v>
      </c>
      <c r="E412" s="5" t="s">
        <v>38</v>
      </c>
      <c r="F412" s="5" t="s">
        <v>55</v>
      </c>
      <c r="G412" s="5" t="s">
        <v>58</v>
      </c>
      <c r="H412" s="2" t="s">
        <v>14</v>
      </c>
      <c r="I412" s="6">
        <v>321</v>
      </c>
    </row>
    <row r="413" spans="1:9" x14ac:dyDescent="0.3">
      <c r="A413" s="7" t="s">
        <v>559</v>
      </c>
      <c r="B413" s="8">
        <v>46287</v>
      </c>
      <c r="C413" s="9">
        <f t="shared" si="6"/>
        <v>46266</v>
      </c>
      <c r="D413" s="10" t="s">
        <v>51</v>
      </c>
      <c r="E413" s="10" t="s">
        <v>180</v>
      </c>
      <c r="F413" s="10" t="s">
        <v>232</v>
      </c>
      <c r="G413" s="10" t="s">
        <v>36</v>
      </c>
      <c r="H413" s="7" t="s">
        <v>14</v>
      </c>
      <c r="I413" s="11">
        <v>2449</v>
      </c>
    </row>
    <row r="414" spans="1:9" x14ac:dyDescent="0.3">
      <c r="A414" s="2" t="s">
        <v>560</v>
      </c>
      <c r="B414" s="3">
        <v>46288</v>
      </c>
      <c r="C414" s="4">
        <f t="shared" si="6"/>
        <v>46266</v>
      </c>
      <c r="D414" s="5" t="s">
        <v>16</v>
      </c>
      <c r="E414" s="5" t="s">
        <v>44</v>
      </c>
      <c r="F414" s="5" t="s">
        <v>183</v>
      </c>
      <c r="G414" s="5" t="s">
        <v>58</v>
      </c>
      <c r="H414" s="2" t="s">
        <v>20</v>
      </c>
      <c r="I414" s="6">
        <v>319</v>
      </c>
    </row>
    <row r="415" spans="1:9" x14ac:dyDescent="0.3">
      <c r="A415" s="7" t="s">
        <v>561</v>
      </c>
      <c r="B415" s="8">
        <v>46289</v>
      </c>
      <c r="C415" s="9">
        <f t="shared" si="6"/>
        <v>46266</v>
      </c>
      <c r="D415" s="10" t="s">
        <v>76</v>
      </c>
      <c r="E415" s="10" t="s">
        <v>223</v>
      </c>
      <c r="F415" s="10" t="s">
        <v>224</v>
      </c>
      <c r="G415" s="10" t="s">
        <v>58</v>
      </c>
      <c r="H415" s="7" t="s">
        <v>20</v>
      </c>
      <c r="I415" s="11">
        <v>178</v>
      </c>
    </row>
    <row r="416" spans="1:9" x14ac:dyDescent="0.3">
      <c r="A416" s="2" t="s">
        <v>562</v>
      </c>
      <c r="B416" s="3">
        <v>46290</v>
      </c>
      <c r="C416" s="4">
        <f t="shared" si="6"/>
        <v>46266</v>
      </c>
      <c r="D416" s="5" t="s">
        <v>76</v>
      </c>
      <c r="E416" s="5" t="s">
        <v>223</v>
      </c>
      <c r="F416" s="5" t="s">
        <v>224</v>
      </c>
      <c r="G416" s="5" t="s">
        <v>42</v>
      </c>
      <c r="H416" s="2" t="s">
        <v>20</v>
      </c>
      <c r="I416" s="6">
        <v>429</v>
      </c>
    </row>
    <row r="417" spans="1:9" x14ac:dyDescent="0.3">
      <c r="A417" s="7" t="s">
        <v>563</v>
      </c>
      <c r="B417" s="8">
        <v>46290</v>
      </c>
      <c r="C417" s="9">
        <f t="shared" si="6"/>
        <v>46266</v>
      </c>
      <c r="D417" s="10" t="s">
        <v>10</v>
      </c>
      <c r="E417" s="10" t="s">
        <v>144</v>
      </c>
      <c r="F417" s="10" t="s">
        <v>564</v>
      </c>
      <c r="G417" s="10" t="s">
        <v>19</v>
      </c>
      <c r="H417" s="7" t="s">
        <v>20</v>
      </c>
      <c r="I417" s="11">
        <v>930</v>
      </c>
    </row>
    <row r="418" spans="1:9" x14ac:dyDescent="0.3">
      <c r="A418" s="2" t="s">
        <v>565</v>
      </c>
      <c r="B418" s="3">
        <v>46290</v>
      </c>
      <c r="C418" s="4">
        <f t="shared" si="6"/>
        <v>46266</v>
      </c>
      <c r="D418" s="5" t="s">
        <v>22</v>
      </c>
      <c r="E418" s="5" t="s">
        <v>122</v>
      </c>
      <c r="F418" s="5" t="s">
        <v>293</v>
      </c>
      <c r="G418" s="5" t="s">
        <v>36</v>
      </c>
      <c r="H418" s="2" t="s">
        <v>20</v>
      </c>
      <c r="I418" s="6">
        <v>378</v>
      </c>
    </row>
    <row r="419" spans="1:9" x14ac:dyDescent="0.3">
      <c r="A419" s="7" t="s">
        <v>566</v>
      </c>
      <c r="B419" s="8">
        <v>46291</v>
      </c>
      <c r="C419" s="9">
        <f t="shared" si="6"/>
        <v>46266</v>
      </c>
      <c r="D419" s="10" t="s">
        <v>26</v>
      </c>
      <c r="E419" s="10" t="s">
        <v>80</v>
      </c>
      <c r="F419" s="10" t="s">
        <v>81</v>
      </c>
      <c r="G419" s="10" t="s">
        <v>58</v>
      </c>
      <c r="H419" s="7" t="s">
        <v>20</v>
      </c>
      <c r="I419" s="11">
        <v>1252</v>
      </c>
    </row>
    <row r="420" spans="1:9" x14ac:dyDescent="0.3">
      <c r="A420" s="2" t="s">
        <v>567</v>
      </c>
      <c r="B420" s="3">
        <v>46294</v>
      </c>
      <c r="C420" s="4">
        <f t="shared" si="6"/>
        <v>46266</v>
      </c>
      <c r="D420" s="5" t="s">
        <v>22</v>
      </c>
      <c r="E420" s="5" t="s">
        <v>122</v>
      </c>
      <c r="F420" s="5" t="s">
        <v>293</v>
      </c>
      <c r="G420" s="5" t="s">
        <v>19</v>
      </c>
      <c r="H420" s="2" t="s">
        <v>20</v>
      </c>
      <c r="I420" s="6">
        <v>69</v>
      </c>
    </row>
    <row r="421" spans="1:9" x14ac:dyDescent="0.3">
      <c r="A421" s="7" t="s">
        <v>568</v>
      </c>
      <c r="B421" s="8">
        <v>46295</v>
      </c>
      <c r="C421" s="9">
        <f t="shared" si="6"/>
        <v>46266</v>
      </c>
      <c r="D421" s="10" t="s">
        <v>76</v>
      </c>
      <c r="E421" s="10" t="s">
        <v>103</v>
      </c>
      <c r="F421" s="10" t="s">
        <v>153</v>
      </c>
      <c r="G421" s="10" t="s">
        <v>19</v>
      </c>
      <c r="H421" s="7" t="s">
        <v>20</v>
      </c>
      <c r="I421" s="11">
        <v>234</v>
      </c>
    </row>
    <row r="422" spans="1:9" x14ac:dyDescent="0.3">
      <c r="I422" s="29">
        <f>SUM(I2:I421)</f>
        <v>527098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0088-8C5F-4ADF-BAB7-1515429CAAAB}">
  <dimension ref="A6:B32"/>
  <sheetViews>
    <sheetView topLeftCell="A7" workbookViewId="0">
      <selection activeCell="B22" sqref="B22"/>
    </sheetView>
  </sheetViews>
  <sheetFormatPr defaultRowHeight="14.4" x14ac:dyDescent="0.3"/>
  <cols>
    <col min="1" max="1" width="36.21875" customWidth="1"/>
    <col min="2" max="2" width="17.5546875" customWidth="1"/>
  </cols>
  <sheetData>
    <row r="6" spans="1:2" x14ac:dyDescent="0.3">
      <c r="A6" s="12" t="s">
        <v>569</v>
      </c>
      <c r="B6" s="13"/>
    </row>
    <row r="7" spans="1:2" x14ac:dyDescent="0.3">
      <c r="A7" s="14" t="s">
        <v>570</v>
      </c>
      <c r="B7" s="15">
        <v>55000</v>
      </c>
    </row>
    <row r="8" spans="1:2" x14ac:dyDescent="0.3">
      <c r="A8" s="14" t="s">
        <v>571</v>
      </c>
      <c r="B8" s="16">
        <f>ROUND(SUMPRODUCT(1/COUNTIF([1]Dataset!$C$2:$C$421,[1]Dataset!$C$2:$C$421)),0)</f>
        <v>12</v>
      </c>
    </row>
    <row r="9" spans="1:2" x14ac:dyDescent="0.3">
      <c r="A9" s="14" t="s">
        <v>572</v>
      </c>
      <c r="B9" s="15">
        <v>46000</v>
      </c>
    </row>
    <row r="11" spans="1:2" x14ac:dyDescent="0.3">
      <c r="A11" s="17" t="s">
        <v>573</v>
      </c>
      <c r="B11" s="1" t="s">
        <v>574</v>
      </c>
    </row>
    <row r="12" spans="1:2" x14ac:dyDescent="0.3">
      <c r="A12" s="18" t="s">
        <v>575</v>
      </c>
      <c r="B12" s="19">
        <f>SUM([1]Dataset!$I$2:$I$421)</f>
        <v>527098</v>
      </c>
    </row>
    <row r="13" spans="1:2" x14ac:dyDescent="0.3">
      <c r="A13" s="20" t="s">
        <v>576</v>
      </c>
      <c r="B13" s="21">
        <f>COUNTA([1]Dataset!$A$2:$A$421)</f>
        <v>420</v>
      </c>
    </row>
    <row r="14" spans="1:2" x14ac:dyDescent="0.3">
      <c r="A14" s="18" t="s">
        <v>577</v>
      </c>
      <c r="B14" s="19">
        <f>B12/B13</f>
        <v>1254.9952380952382</v>
      </c>
    </row>
    <row r="15" spans="1:2" x14ac:dyDescent="0.3">
      <c r="A15" s="20" t="s">
        <v>578</v>
      </c>
      <c r="B15" s="22">
        <f>MAX([1]Dataset!$I$2:$I$421)</f>
        <v>8500</v>
      </c>
    </row>
    <row r="16" spans="1:2" x14ac:dyDescent="0.3">
      <c r="A16" s="18" t="s">
        <v>579</v>
      </c>
      <c r="B16" s="19">
        <f>B12/B7</f>
        <v>9.5836000000000006</v>
      </c>
    </row>
    <row r="17" spans="1:2" x14ac:dyDescent="0.3">
      <c r="A17" s="20" t="s">
        <v>580</v>
      </c>
      <c r="B17" s="22">
        <f>B6*B7</f>
        <v>0</v>
      </c>
    </row>
    <row r="18" spans="1:2" x14ac:dyDescent="0.3">
      <c r="A18" s="18" t="s">
        <v>581</v>
      </c>
      <c r="B18" s="23">
        <f>B17-B12</f>
        <v>-527098</v>
      </c>
    </row>
    <row r="19" spans="1:2" x14ac:dyDescent="0.3">
      <c r="A19" s="20" t="s">
        <v>582</v>
      </c>
      <c r="B19" s="24">
        <f>IF(B17=0,0,B18/B17)</f>
        <v>0</v>
      </c>
    </row>
    <row r="20" spans="1:2" x14ac:dyDescent="0.3">
      <c r="A20" s="18" t="s">
        <v>583</v>
      </c>
      <c r="B20" s="25">
        <f>IF(B8*B7=0,0,B12/(B8*B7))</f>
        <v>0.79863333333333331</v>
      </c>
    </row>
    <row r="21" spans="1:2" x14ac:dyDescent="0.3">
      <c r="A21" s="20" t="s">
        <v>584</v>
      </c>
      <c r="B21" s="26" t="s">
        <v>10</v>
      </c>
    </row>
    <row r="22" spans="1:2" x14ac:dyDescent="0.3">
      <c r="A22" s="18" t="s">
        <v>585</v>
      </c>
      <c r="B22" s="19">
        <f>MAX($B$35:$B$42)</f>
        <v>0</v>
      </c>
    </row>
    <row r="23" spans="1:2" x14ac:dyDescent="0.3">
      <c r="A23" s="20" t="s">
        <v>586</v>
      </c>
      <c r="B23" s="24">
        <f>B22/B12</f>
        <v>0</v>
      </c>
    </row>
    <row r="24" spans="1:2" x14ac:dyDescent="0.3">
      <c r="A24" s="18" t="s">
        <v>587</v>
      </c>
      <c r="B24" s="19">
        <f>SUMIFS([1]Dataset!$I$2:$I$421,[1]Dataset!$H$2:$H$421,"Need")</f>
        <v>268468</v>
      </c>
    </row>
    <row r="25" spans="1:2" x14ac:dyDescent="0.3">
      <c r="A25" s="20" t="s">
        <v>588</v>
      </c>
      <c r="B25" s="22">
        <f>SUMIFS([1]Dataset!$I$2:$I$421,[1]Dataset!$H$2:$H$421,"Want")</f>
        <v>258630</v>
      </c>
    </row>
    <row r="26" spans="1:2" x14ac:dyDescent="0.3">
      <c r="A26" s="18" t="s">
        <v>589</v>
      </c>
      <c r="B26" s="25">
        <f>B24/B12</f>
        <v>0.50933223043912135</v>
      </c>
    </row>
    <row r="27" spans="1:2" x14ac:dyDescent="0.3">
      <c r="A27" s="20" t="s">
        <v>590</v>
      </c>
      <c r="B27" s="24">
        <f>B25/B12</f>
        <v>0.4906677695608786</v>
      </c>
    </row>
    <row r="28" spans="1:2" x14ac:dyDescent="0.3">
      <c r="A28" s="20" t="s">
        <v>591</v>
      </c>
      <c r="B28" s="24">
        <f>1-B68/B12</f>
        <v>1</v>
      </c>
    </row>
    <row r="29" spans="1:2" x14ac:dyDescent="0.3">
      <c r="A29" s="20"/>
      <c r="B29" s="22"/>
    </row>
    <row r="30" spans="1:2" x14ac:dyDescent="0.3">
      <c r="A30" s="18"/>
      <c r="B30" s="27"/>
    </row>
    <row r="31" spans="1:2" x14ac:dyDescent="0.3">
      <c r="A31" s="20"/>
      <c r="B31" s="22"/>
    </row>
    <row r="32" spans="1:2" x14ac:dyDescent="0.3">
      <c r="A32" s="18"/>
      <c r="B32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1F1A-8E0B-4C08-982C-30AC38C0AFA3}">
  <dimension ref="A1:BQ174"/>
  <sheetViews>
    <sheetView topLeftCell="A94" workbookViewId="0">
      <selection activeCell="H105" sqref="H105"/>
    </sheetView>
  </sheetViews>
  <sheetFormatPr defaultRowHeight="14.4" x14ac:dyDescent="0.3"/>
  <cols>
    <col min="1" max="1" width="12.6640625" bestFit="1" customWidth="1"/>
    <col min="2" max="2" width="17.33203125" bestFit="1" customWidth="1"/>
    <col min="3" max="3" width="16.44140625" bestFit="1" customWidth="1"/>
    <col min="4" max="4" width="21.5546875" bestFit="1" customWidth="1"/>
    <col min="5" max="5" width="25.44140625" bestFit="1" customWidth="1"/>
    <col min="6" max="6" width="9.109375" bestFit="1" customWidth="1"/>
    <col min="7" max="7" width="10.77734375" bestFit="1" customWidth="1"/>
    <col min="8" max="13" width="10.33203125" bestFit="1" customWidth="1"/>
    <col min="14" max="15" width="10.77734375" bestFit="1" customWidth="1"/>
  </cols>
  <sheetData>
    <row r="1" spans="1:69" x14ac:dyDescent="0.3">
      <c r="A1" s="30" t="s">
        <v>598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</row>
    <row r="2" spans="1:69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</row>
    <row r="3" spans="1:69" x14ac:dyDescent="0.3">
      <c r="A3" s="33" t="s">
        <v>3</v>
      </c>
      <c r="B3" s="33" t="s">
        <v>594</v>
      </c>
      <c r="C3" s="33" t="s">
        <v>595</v>
      </c>
      <c r="D3" s="33" t="s">
        <v>596</v>
      </c>
      <c r="E3" s="33" t="s">
        <v>597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</row>
    <row r="4" spans="1:69" x14ac:dyDescent="0.3">
      <c r="A4" s="34" t="s">
        <v>51</v>
      </c>
      <c r="B4" s="35">
        <v>35671</v>
      </c>
      <c r="C4" s="71">
        <v>28</v>
      </c>
      <c r="D4" s="35">
        <v>1273.9642857142858</v>
      </c>
      <c r="E4" s="36">
        <v>6.7674322422016403E-2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</row>
    <row r="5" spans="1:69" x14ac:dyDescent="0.3">
      <c r="A5" s="37" t="s">
        <v>52</v>
      </c>
      <c r="B5" s="38">
        <v>2229</v>
      </c>
      <c r="C5" s="72">
        <v>5</v>
      </c>
      <c r="D5" s="38">
        <v>445.8</v>
      </c>
      <c r="E5" s="39">
        <v>4.2288151349464424E-3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</row>
    <row r="6" spans="1:69" x14ac:dyDescent="0.3">
      <c r="A6" s="37" t="s">
        <v>180</v>
      </c>
      <c r="B6" s="38">
        <v>25028</v>
      </c>
      <c r="C6" s="72">
        <v>11</v>
      </c>
      <c r="D6" s="38">
        <v>2275.2727272727275</v>
      </c>
      <c r="E6" s="39">
        <v>4.7482631313342114E-2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</row>
    <row r="7" spans="1:69" x14ac:dyDescent="0.3">
      <c r="A7" s="37" t="s">
        <v>133</v>
      </c>
      <c r="B7" s="38">
        <v>5051</v>
      </c>
      <c r="C7" s="72">
        <v>6</v>
      </c>
      <c r="D7" s="38">
        <v>841.83333333333337</v>
      </c>
      <c r="E7" s="39">
        <v>9.5826582533039394E-3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</row>
    <row r="8" spans="1:69" x14ac:dyDescent="0.3">
      <c r="A8" s="37" t="s">
        <v>205</v>
      </c>
      <c r="B8" s="38">
        <v>3363</v>
      </c>
      <c r="C8" s="72">
        <v>6</v>
      </c>
      <c r="D8" s="38">
        <v>560.5</v>
      </c>
      <c r="E8" s="39">
        <v>6.380217720423906E-3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</row>
    <row r="9" spans="1:69" x14ac:dyDescent="0.3">
      <c r="A9" s="34" t="s">
        <v>76</v>
      </c>
      <c r="B9" s="35">
        <v>21781</v>
      </c>
      <c r="C9" s="71">
        <v>41</v>
      </c>
      <c r="D9" s="35">
        <v>531.2439024390244</v>
      </c>
      <c r="E9" s="36">
        <v>4.1322486520533185E-2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</row>
    <row r="10" spans="1:69" x14ac:dyDescent="0.3">
      <c r="A10" s="37" t="s">
        <v>77</v>
      </c>
      <c r="B10" s="38">
        <v>2337</v>
      </c>
      <c r="C10" s="72">
        <v>3</v>
      </c>
      <c r="D10" s="38">
        <v>779</v>
      </c>
      <c r="E10" s="39">
        <v>4.4337106192776296E-3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</row>
    <row r="11" spans="1:69" x14ac:dyDescent="0.3">
      <c r="A11" s="37" t="s">
        <v>223</v>
      </c>
      <c r="B11" s="38">
        <v>7592</v>
      </c>
      <c r="C11" s="72">
        <v>12</v>
      </c>
      <c r="D11" s="38">
        <v>632.66666666666663</v>
      </c>
      <c r="E11" s="39">
        <v>1.4403393676318255E-2</v>
      </c>
      <c r="F11" s="31"/>
      <c r="G11" s="98" t="s">
        <v>620</v>
      </c>
      <c r="H11" s="98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</row>
    <row r="12" spans="1:69" x14ac:dyDescent="0.3">
      <c r="A12" s="37" t="s">
        <v>103</v>
      </c>
      <c r="B12" s="38">
        <v>7691</v>
      </c>
      <c r="C12" s="72">
        <v>14</v>
      </c>
      <c r="D12" s="38">
        <v>549.35714285714289</v>
      </c>
      <c r="E12" s="39">
        <v>1.4591214536955176E-2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</row>
    <row r="13" spans="1:69" x14ac:dyDescent="0.3">
      <c r="A13" s="37" t="s">
        <v>97</v>
      </c>
      <c r="B13" s="38">
        <v>4161</v>
      </c>
      <c r="C13" s="72">
        <v>12</v>
      </c>
      <c r="D13" s="38">
        <v>346.75</v>
      </c>
      <c r="E13" s="39">
        <v>7.8941676879821215E-3</v>
      </c>
      <c r="F13" s="31"/>
      <c r="G13" s="55" t="s">
        <v>3</v>
      </c>
      <c r="H13" s="55" t="s">
        <v>594</v>
      </c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</row>
    <row r="14" spans="1:69" x14ac:dyDescent="0.3">
      <c r="A14" s="34" t="s">
        <v>26</v>
      </c>
      <c r="B14" s="35">
        <v>70546</v>
      </c>
      <c r="C14" s="71">
        <v>111</v>
      </c>
      <c r="D14" s="35">
        <v>635.54954954954951</v>
      </c>
      <c r="E14" s="36">
        <v>0.13383848923729552</v>
      </c>
      <c r="F14" s="31"/>
      <c r="G14" s="56" t="s">
        <v>51</v>
      </c>
      <c r="H14" s="57">
        <v>35671</v>
      </c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</row>
    <row r="15" spans="1:69" x14ac:dyDescent="0.3">
      <c r="A15" s="37" t="s">
        <v>38</v>
      </c>
      <c r="B15" s="38">
        <v>28611</v>
      </c>
      <c r="C15" s="72">
        <v>27</v>
      </c>
      <c r="D15" s="38">
        <v>1059.6666666666667</v>
      </c>
      <c r="E15" s="39">
        <v>5.428022872407029E-2</v>
      </c>
      <c r="F15" s="31"/>
      <c r="G15" s="56" t="s">
        <v>76</v>
      </c>
      <c r="H15" s="57">
        <v>21781</v>
      </c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</row>
    <row r="16" spans="1:69" x14ac:dyDescent="0.3">
      <c r="A16" s="37" t="s">
        <v>67</v>
      </c>
      <c r="B16" s="38">
        <v>9725</v>
      </c>
      <c r="C16" s="72">
        <v>25</v>
      </c>
      <c r="D16" s="38">
        <v>389</v>
      </c>
      <c r="E16" s="39">
        <v>1.84500794918592E-2</v>
      </c>
      <c r="F16" s="31"/>
      <c r="G16" s="56" t="s">
        <v>26</v>
      </c>
      <c r="H16" s="57">
        <v>70546</v>
      </c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</row>
    <row r="17" spans="1:69" x14ac:dyDescent="0.3">
      <c r="A17" s="37" t="s">
        <v>80</v>
      </c>
      <c r="B17" s="38">
        <v>24136</v>
      </c>
      <c r="C17" s="72">
        <v>29</v>
      </c>
      <c r="D17" s="38">
        <v>832.27586206896547</v>
      </c>
      <c r="E17" s="39">
        <v>4.5790346387199345E-2</v>
      </c>
      <c r="F17" s="31"/>
      <c r="G17" s="56" t="s">
        <v>30</v>
      </c>
      <c r="H17" s="57">
        <v>41729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</row>
    <row r="18" spans="1:69" x14ac:dyDescent="0.3">
      <c r="A18" s="37" t="s">
        <v>27</v>
      </c>
      <c r="B18" s="38">
        <v>8074</v>
      </c>
      <c r="C18" s="72">
        <v>30</v>
      </c>
      <c r="D18" s="38">
        <v>269.13333333333333</v>
      </c>
      <c r="E18" s="39">
        <v>1.5317834634166701E-2</v>
      </c>
      <c r="F18" s="31"/>
      <c r="G18" s="56" t="s">
        <v>10</v>
      </c>
      <c r="H18" s="57">
        <v>133523</v>
      </c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</row>
    <row r="19" spans="1:69" x14ac:dyDescent="0.3">
      <c r="A19" s="34" t="s">
        <v>30</v>
      </c>
      <c r="B19" s="35">
        <v>41729</v>
      </c>
      <c r="C19" s="71">
        <v>37</v>
      </c>
      <c r="D19" s="35">
        <v>1127.8108108108108</v>
      </c>
      <c r="E19" s="36">
        <v>7.9167441348667614E-2</v>
      </c>
      <c r="F19" s="31"/>
      <c r="G19" s="56" t="s">
        <v>16</v>
      </c>
      <c r="H19" s="57">
        <v>92029</v>
      </c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</row>
    <row r="20" spans="1:69" x14ac:dyDescent="0.3">
      <c r="A20" s="37" t="s">
        <v>106</v>
      </c>
      <c r="B20" s="38">
        <v>9703</v>
      </c>
      <c r="C20" s="72">
        <v>12</v>
      </c>
      <c r="D20" s="38">
        <v>808.58333333333337</v>
      </c>
      <c r="E20" s="39">
        <v>1.8408341522828772E-2</v>
      </c>
      <c r="F20" s="31"/>
      <c r="G20" s="56" t="s">
        <v>22</v>
      </c>
      <c r="H20" s="57">
        <v>96509</v>
      </c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</row>
    <row r="21" spans="1:69" x14ac:dyDescent="0.3">
      <c r="A21" s="37" t="s">
        <v>127</v>
      </c>
      <c r="B21" s="38">
        <v>9031</v>
      </c>
      <c r="C21" s="72">
        <v>8</v>
      </c>
      <c r="D21" s="38">
        <v>1128.875</v>
      </c>
      <c r="E21" s="39">
        <v>1.7133436286990274E-2</v>
      </c>
      <c r="F21" s="31"/>
      <c r="G21" s="56" t="s">
        <v>47</v>
      </c>
      <c r="H21" s="57">
        <v>35310</v>
      </c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</row>
    <row r="22" spans="1:69" x14ac:dyDescent="0.3">
      <c r="A22" s="37" t="s">
        <v>31</v>
      </c>
      <c r="B22" s="38">
        <v>20240</v>
      </c>
      <c r="C22" s="72">
        <v>12</v>
      </c>
      <c r="D22" s="38">
        <v>1686.6666666666667</v>
      </c>
      <c r="E22" s="39">
        <v>3.8398931507992819E-2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</row>
    <row r="23" spans="1:69" x14ac:dyDescent="0.3">
      <c r="A23" s="37" t="s">
        <v>116</v>
      </c>
      <c r="B23" s="38">
        <v>2755</v>
      </c>
      <c r="C23" s="72">
        <v>5</v>
      </c>
      <c r="D23" s="38">
        <v>551</v>
      </c>
      <c r="E23" s="39">
        <v>5.226732030855742E-3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</row>
    <row r="24" spans="1:69" x14ac:dyDescent="0.3">
      <c r="A24" s="34" t="s">
        <v>10</v>
      </c>
      <c r="B24" s="35">
        <v>133523</v>
      </c>
      <c r="C24" s="71">
        <v>38</v>
      </c>
      <c r="D24" s="35">
        <v>3513.7631578947367</v>
      </c>
      <c r="E24" s="36">
        <v>0.25331721994771372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</row>
    <row r="25" spans="1:69" x14ac:dyDescent="0.3">
      <c r="A25" s="37" t="s">
        <v>144</v>
      </c>
      <c r="B25" s="38">
        <v>9126</v>
      </c>
      <c r="C25" s="72">
        <v>5</v>
      </c>
      <c r="D25" s="38">
        <v>1825.2</v>
      </c>
      <c r="E25" s="39">
        <v>1.73136684259853E-2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</row>
    <row r="26" spans="1:69" x14ac:dyDescent="0.3">
      <c r="A26" s="37" t="s">
        <v>11</v>
      </c>
      <c r="B26" s="38">
        <v>102000</v>
      </c>
      <c r="C26" s="72">
        <v>12</v>
      </c>
      <c r="D26" s="38">
        <v>8500</v>
      </c>
      <c r="E26" s="39">
        <v>0.19351240186834326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</row>
    <row r="27" spans="1:69" x14ac:dyDescent="0.3">
      <c r="A27" s="37" t="s">
        <v>34</v>
      </c>
      <c r="B27" s="38">
        <v>9688</v>
      </c>
      <c r="C27" s="72">
        <v>11</v>
      </c>
      <c r="D27" s="38">
        <v>880.72727272727275</v>
      </c>
      <c r="E27" s="39">
        <v>1.8379883816671664E-2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</row>
    <row r="28" spans="1:69" x14ac:dyDescent="0.3">
      <c r="A28" s="37" t="s">
        <v>87</v>
      </c>
      <c r="B28" s="38">
        <v>12709</v>
      </c>
      <c r="C28" s="72">
        <v>10</v>
      </c>
      <c r="D28" s="38">
        <v>1270.9000000000001</v>
      </c>
      <c r="E28" s="39">
        <v>2.4111265836713476E-2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</row>
    <row r="29" spans="1:69" x14ac:dyDescent="0.3">
      <c r="A29" s="34" t="s">
        <v>16</v>
      </c>
      <c r="B29" s="35">
        <v>92029</v>
      </c>
      <c r="C29" s="71">
        <v>52</v>
      </c>
      <c r="D29" s="35">
        <v>1769.7884615384614</v>
      </c>
      <c r="E29" s="36">
        <v>0.17459561599550746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</row>
    <row r="30" spans="1:69" x14ac:dyDescent="0.3">
      <c r="A30" s="37" t="s">
        <v>64</v>
      </c>
      <c r="B30" s="38">
        <v>10050</v>
      </c>
      <c r="C30" s="72">
        <v>12</v>
      </c>
      <c r="D30" s="38">
        <v>837.5</v>
      </c>
      <c r="E30" s="39">
        <v>1.9066663125263235E-2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</row>
    <row r="31" spans="1:69" x14ac:dyDescent="0.3">
      <c r="A31" s="37" t="s">
        <v>17</v>
      </c>
      <c r="B31" s="38">
        <v>29295</v>
      </c>
      <c r="C31" s="72">
        <v>15</v>
      </c>
      <c r="D31" s="38">
        <v>1953</v>
      </c>
      <c r="E31" s="39">
        <v>5.5577900124834469E-2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</row>
    <row r="32" spans="1:69" x14ac:dyDescent="0.3">
      <c r="A32" s="37" t="s">
        <v>138</v>
      </c>
      <c r="B32" s="38">
        <v>45807</v>
      </c>
      <c r="C32" s="72">
        <v>14</v>
      </c>
      <c r="D32" s="38">
        <v>3271.9285714285716</v>
      </c>
      <c r="E32" s="39">
        <v>8.6904143062580388E-2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</row>
    <row r="33" spans="1:69" x14ac:dyDescent="0.3">
      <c r="A33" s="37" t="s">
        <v>44</v>
      </c>
      <c r="B33" s="38">
        <v>6877</v>
      </c>
      <c r="C33" s="72">
        <v>11</v>
      </c>
      <c r="D33" s="38">
        <v>625.18181818181813</v>
      </c>
      <c r="E33" s="39">
        <v>1.3046909682829379E-2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</row>
    <row r="34" spans="1:69" x14ac:dyDescent="0.3">
      <c r="A34" s="34" t="s">
        <v>22</v>
      </c>
      <c r="B34" s="35">
        <v>96509</v>
      </c>
      <c r="C34" s="71">
        <v>67</v>
      </c>
      <c r="D34" s="35">
        <v>1440.4328358208954</v>
      </c>
      <c r="E34" s="36">
        <v>0.1830949842344308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</row>
    <row r="35" spans="1:69" x14ac:dyDescent="0.3">
      <c r="A35" s="37" t="s">
        <v>23</v>
      </c>
      <c r="B35" s="38">
        <v>3455</v>
      </c>
      <c r="C35" s="72">
        <v>14</v>
      </c>
      <c r="D35" s="38">
        <v>246.78571428571428</v>
      </c>
      <c r="E35" s="39">
        <v>6.5547583181875101E-3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</row>
    <row r="36" spans="1:69" x14ac:dyDescent="0.3">
      <c r="A36" s="37" t="s">
        <v>122</v>
      </c>
      <c r="B36" s="38">
        <v>5122</v>
      </c>
      <c r="C36" s="72">
        <v>21</v>
      </c>
      <c r="D36" s="38">
        <v>243.9047619047619</v>
      </c>
      <c r="E36" s="39">
        <v>9.7173580624475911E-3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</row>
    <row r="37" spans="1:69" x14ac:dyDescent="0.3">
      <c r="A37" s="37" t="s">
        <v>73</v>
      </c>
      <c r="B37" s="38">
        <v>11689</v>
      </c>
      <c r="C37" s="72">
        <v>15</v>
      </c>
      <c r="D37" s="38">
        <v>779.26666666666665</v>
      </c>
      <c r="E37" s="39">
        <v>2.2176141818030043E-2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</row>
    <row r="38" spans="1:69" x14ac:dyDescent="0.3">
      <c r="A38" s="37" t="s">
        <v>70</v>
      </c>
      <c r="B38" s="38">
        <v>76243</v>
      </c>
      <c r="C38" s="72">
        <v>17</v>
      </c>
      <c r="D38" s="38">
        <v>4484.8823529411766</v>
      </c>
      <c r="E38" s="39">
        <v>0.14464672603576564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</row>
    <row r="39" spans="1:69" x14ac:dyDescent="0.3">
      <c r="A39" s="34" t="s">
        <v>47</v>
      </c>
      <c r="B39" s="35">
        <v>35310</v>
      </c>
      <c r="C39" s="71">
        <v>46</v>
      </c>
      <c r="D39" s="35">
        <v>767.60869565217388</v>
      </c>
      <c r="E39" s="36">
        <v>6.6989440293835301E-2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</row>
    <row r="40" spans="1:69" x14ac:dyDescent="0.3">
      <c r="A40" s="37" t="s">
        <v>130</v>
      </c>
      <c r="B40" s="38">
        <v>11391</v>
      </c>
      <c r="C40" s="72">
        <v>9</v>
      </c>
      <c r="D40" s="38">
        <v>1265.6666666666667</v>
      </c>
      <c r="E40" s="39">
        <v>2.1610782055708804E-2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</row>
    <row r="41" spans="1:69" x14ac:dyDescent="0.3">
      <c r="A41" s="37" t="s">
        <v>174</v>
      </c>
      <c r="B41" s="38">
        <v>13062</v>
      </c>
      <c r="C41" s="72">
        <v>15</v>
      </c>
      <c r="D41" s="38">
        <v>870.8</v>
      </c>
      <c r="E41" s="39">
        <v>2.4780970521610782E-2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</row>
    <row r="42" spans="1:69" x14ac:dyDescent="0.3">
      <c r="A42" s="37" t="s">
        <v>249</v>
      </c>
      <c r="B42" s="38">
        <v>4118</v>
      </c>
      <c r="C42" s="72">
        <v>10</v>
      </c>
      <c r="D42" s="38">
        <v>411.8</v>
      </c>
      <c r="E42" s="39">
        <v>7.812588930331741E-3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</row>
    <row r="43" spans="1:69" x14ac:dyDescent="0.3">
      <c r="A43" s="37" t="s">
        <v>48</v>
      </c>
      <c r="B43" s="38">
        <v>6739</v>
      </c>
      <c r="C43" s="72">
        <v>12</v>
      </c>
      <c r="D43" s="38">
        <v>561.58333333333337</v>
      </c>
      <c r="E43" s="39">
        <v>1.2785098786183974E-2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</row>
    <row r="44" spans="1:69" x14ac:dyDescent="0.3">
      <c r="A44" s="40" t="s">
        <v>593</v>
      </c>
      <c r="B44" s="41">
        <v>527098</v>
      </c>
      <c r="C44" s="73">
        <v>420</v>
      </c>
      <c r="D44" s="41">
        <v>1254.9952380952382</v>
      </c>
      <c r="E44" s="42">
        <v>1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</row>
    <row r="45" spans="1:69" x14ac:dyDescent="0.3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</row>
    <row r="46" spans="1:69" x14ac:dyDescent="0.3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</row>
    <row r="47" spans="1:69" x14ac:dyDescent="0.3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</row>
    <row r="48" spans="1:69" x14ac:dyDescent="0.3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</row>
    <row r="49" spans="1:69" x14ac:dyDescent="0.3">
      <c r="A49" s="30" t="s">
        <v>599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</row>
    <row r="50" spans="1:69" x14ac:dyDescent="0.3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</row>
    <row r="51" spans="1:69" x14ac:dyDescent="0.3">
      <c r="A51" s="31"/>
      <c r="B51" s="31"/>
      <c r="C51" s="31"/>
      <c r="D51" s="31"/>
      <c r="E51" s="31"/>
      <c r="F51" s="31"/>
      <c r="G51" s="31"/>
      <c r="H51" s="31"/>
      <c r="I51" s="98" t="s">
        <v>621</v>
      </c>
      <c r="J51" s="98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</row>
    <row r="52" spans="1:69" x14ac:dyDescent="0.3">
      <c r="A52" s="43" t="s">
        <v>594</v>
      </c>
      <c r="B52" s="43" t="s">
        <v>600</v>
      </c>
      <c r="C52" s="43"/>
      <c r="D52" s="43"/>
      <c r="E52" s="43"/>
      <c r="F52" s="43"/>
      <c r="G52" s="43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</row>
    <row r="53" spans="1:69" x14ac:dyDescent="0.3">
      <c r="A53" s="43" t="s">
        <v>1</v>
      </c>
      <c r="B53" s="43" t="s">
        <v>42</v>
      </c>
      <c r="C53" s="43" t="s">
        <v>36</v>
      </c>
      <c r="D53" s="43" t="s">
        <v>603</v>
      </c>
      <c r="E53" s="43" t="s">
        <v>13</v>
      </c>
      <c r="F53" s="43" t="s">
        <v>602</v>
      </c>
      <c r="G53" s="43" t="s">
        <v>593</v>
      </c>
      <c r="H53" s="31"/>
      <c r="I53" s="58" t="s">
        <v>1</v>
      </c>
      <c r="J53" s="58" t="s">
        <v>593</v>
      </c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</row>
    <row r="54" spans="1:69" x14ac:dyDescent="0.3">
      <c r="A54" s="44">
        <v>45931</v>
      </c>
      <c r="B54" s="38">
        <v>2180</v>
      </c>
      <c r="C54" s="38">
        <v>3275</v>
      </c>
      <c r="D54" s="38">
        <v>2896</v>
      </c>
      <c r="E54" s="38">
        <v>10192</v>
      </c>
      <c r="F54" s="38">
        <v>20129</v>
      </c>
      <c r="G54" s="38">
        <v>38672</v>
      </c>
      <c r="H54" s="31"/>
      <c r="I54" s="44">
        <v>45931</v>
      </c>
      <c r="J54" s="38">
        <v>38672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</row>
    <row r="55" spans="1:69" x14ac:dyDescent="0.3">
      <c r="A55" s="44">
        <v>45962</v>
      </c>
      <c r="B55" s="38">
        <v>6145</v>
      </c>
      <c r="C55" s="38">
        <v>9448</v>
      </c>
      <c r="D55" s="38">
        <v>1224</v>
      </c>
      <c r="E55" s="38">
        <v>8500</v>
      </c>
      <c r="F55" s="38">
        <v>11356</v>
      </c>
      <c r="G55" s="38">
        <v>36673</v>
      </c>
      <c r="H55" s="31"/>
      <c r="I55" s="44">
        <v>45962</v>
      </c>
      <c r="J55" s="38">
        <v>36673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</row>
    <row r="56" spans="1:69" x14ac:dyDescent="0.3">
      <c r="A56" s="44">
        <v>45992</v>
      </c>
      <c r="B56" s="38">
        <v>1774</v>
      </c>
      <c r="C56" s="38">
        <v>9868</v>
      </c>
      <c r="D56" s="38">
        <v>5766</v>
      </c>
      <c r="E56" s="38">
        <v>8691</v>
      </c>
      <c r="F56" s="38">
        <v>21799</v>
      </c>
      <c r="G56" s="38">
        <v>47898</v>
      </c>
      <c r="H56" s="31"/>
      <c r="I56" s="44">
        <v>45992</v>
      </c>
      <c r="J56" s="38">
        <v>47898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</row>
    <row r="57" spans="1:69" x14ac:dyDescent="0.3">
      <c r="A57" s="44">
        <v>46023</v>
      </c>
      <c r="B57" s="45">
        <v>3190</v>
      </c>
      <c r="C57" s="38">
        <v>2482</v>
      </c>
      <c r="D57" s="38">
        <v>5169</v>
      </c>
      <c r="E57" s="38">
        <v>9807</v>
      </c>
      <c r="F57" s="38">
        <v>17472</v>
      </c>
      <c r="G57" s="38">
        <v>38120</v>
      </c>
      <c r="H57" s="31"/>
      <c r="I57" s="44">
        <v>46023</v>
      </c>
      <c r="J57" s="38">
        <v>38120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</row>
    <row r="58" spans="1:69" x14ac:dyDescent="0.3">
      <c r="A58" s="44">
        <v>46054</v>
      </c>
      <c r="B58" s="38">
        <v>490</v>
      </c>
      <c r="C58" s="38">
        <v>1807</v>
      </c>
      <c r="D58" s="38">
        <v>5707</v>
      </c>
      <c r="E58" s="38">
        <v>11235</v>
      </c>
      <c r="F58" s="38">
        <v>17042</v>
      </c>
      <c r="G58" s="38">
        <v>36281</v>
      </c>
      <c r="H58" s="31"/>
      <c r="I58" s="44">
        <v>46054</v>
      </c>
      <c r="J58" s="38">
        <v>36281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</row>
    <row r="59" spans="1:69" x14ac:dyDescent="0.3">
      <c r="A59" s="44">
        <v>46082</v>
      </c>
      <c r="B59" s="38">
        <v>5410</v>
      </c>
      <c r="C59" s="38">
        <v>2022</v>
      </c>
      <c r="D59" s="38">
        <v>7431</v>
      </c>
      <c r="E59" s="38">
        <v>12836</v>
      </c>
      <c r="F59" s="38">
        <v>12118</v>
      </c>
      <c r="G59" s="38">
        <v>39817</v>
      </c>
      <c r="H59" s="31"/>
      <c r="I59" s="44">
        <v>46082</v>
      </c>
      <c r="J59" s="38">
        <v>39817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</row>
    <row r="60" spans="1:69" x14ac:dyDescent="0.3">
      <c r="A60" s="44">
        <v>46113</v>
      </c>
      <c r="B60" s="38">
        <v>1569</v>
      </c>
      <c r="C60" s="38">
        <v>3444</v>
      </c>
      <c r="D60" s="38">
        <v>9172</v>
      </c>
      <c r="E60" s="38">
        <v>8500</v>
      </c>
      <c r="F60" s="38">
        <v>15657</v>
      </c>
      <c r="G60" s="38">
        <v>38342</v>
      </c>
      <c r="H60" s="31"/>
      <c r="I60" s="44">
        <v>46113</v>
      </c>
      <c r="J60" s="38">
        <v>38342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</row>
    <row r="61" spans="1:69" x14ac:dyDescent="0.3">
      <c r="A61" s="44">
        <v>46143</v>
      </c>
      <c r="B61" s="38">
        <v>72</v>
      </c>
      <c r="C61" s="38">
        <v>19496</v>
      </c>
      <c r="D61" s="38">
        <v>7991</v>
      </c>
      <c r="E61" s="38">
        <v>8500</v>
      </c>
      <c r="F61" s="38">
        <v>14803</v>
      </c>
      <c r="G61" s="38">
        <v>50862</v>
      </c>
      <c r="H61" s="31"/>
      <c r="I61" s="44">
        <v>46143</v>
      </c>
      <c r="J61" s="38">
        <v>50862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</row>
    <row r="62" spans="1:69" x14ac:dyDescent="0.3">
      <c r="A62" s="44">
        <v>46174</v>
      </c>
      <c r="B62" s="38">
        <v>4424</v>
      </c>
      <c r="C62" s="38">
        <v>2790</v>
      </c>
      <c r="D62" s="38">
        <v>3660</v>
      </c>
      <c r="E62" s="38">
        <v>14455</v>
      </c>
      <c r="F62" s="38">
        <v>19678</v>
      </c>
      <c r="G62" s="38">
        <v>45007</v>
      </c>
      <c r="H62" s="31"/>
      <c r="I62" s="44">
        <v>46174</v>
      </c>
      <c r="J62" s="38">
        <v>45007</v>
      </c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</row>
    <row r="63" spans="1:69" x14ac:dyDescent="0.3">
      <c r="A63" s="44">
        <v>46204</v>
      </c>
      <c r="B63" s="38">
        <v>6298</v>
      </c>
      <c r="C63" s="38">
        <v>3020</v>
      </c>
      <c r="D63" s="38">
        <v>9340</v>
      </c>
      <c r="E63" s="38">
        <v>9460</v>
      </c>
      <c r="F63" s="38">
        <v>14912</v>
      </c>
      <c r="G63" s="38">
        <v>43030</v>
      </c>
      <c r="H63" s="31"/>
      <c r="I63" s="44">
        <v>46204</v>
      </c>
      <c r="J63" s="38">
        <v>43030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</row>
    <row r="64" spans="1:69" x14ac:dyDescent="0.3">
      <c r="A64" s="44">
        <v>46235</v>
      </c>
      <c r="B64" s="38">
        <v>2642</v>
      </c>
      <c r="C64" s="38">
        <v>13503</v>
      </c>
      <c r="D64" s="38">
        <v>3817</v>
      </c>
      <c r="E64" s="38">
        <v>17252</v>
      </c>
      <c r="F64" s="38">
        <v>24225</v>
      </c>
      <c r="G64" s="38">
        <v>61439</v>
      </c>
      <c r="H64" s="31"/>
      <c r="I64" s="44">
        <v>46235</v>
      </c>
      <c r="J64" s="38">
        <v>61439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</row>
    <row r="65" spans="1:69" x14ac:dyDescent="0.3">
      <c r="A65" s="44">
        <v>46266</v>
      </c>
      <c r="B65" s="38">
        <v>1841</v>
      </c>
      <c r="C65" s="38">
        <v>8620</v>
      </c>
      <c r="D65" s="38">
        <v>9593</v>
      </c>
      <c r="E65" s="38">
        <v>9216</v>
      </c>
      <c r="F65" s="38">
        <v>21687</v>
      </c>
      <c r="G65" s="38">
        <v>50957</v>
      </c>
      <c r="H65" s="31"/>
      <c r="I65" s="44">
        <v>46266</v>
      </c>
      <c r="J65" s="38">
        <v>50957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</row>
    <row r="66" spans="1:69" x14ac:dyDescent="0.3">
      <c r="A66" s="40" t="s">
        <v>593</v>
      </c>
      <c r="B66" s="41">
        <v>36035</v>
      </c>
      <c r="C66" s="41">
        <v>79775</v>
      </c>
      <c r="D66" s="41">
        <v>71766</v>
      </c>
      <c r="E66" s="41">
        <v>128644</v>
      </c>
      <c r="F66" s="41">
        <v>210878</v>
      </c>
      <c r="G66" s="41">
        <v>527098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</row>
    <row r="67" spans="1:69" x14ac:dyDescent="0.3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</row>
    <row r="68" spans="1:69" x14ac:dyDescent="0.3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</row>
    <row r="69" spans="1:69" x14ac:dyDescent="0.3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</row>
    <row r="70" spans="1:69" x14ac:dyDescent="0.3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</row>
    <row r="71" spans="1:69" x14ac:dyDescent="0.3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</row>
    <row r="72" spans="1:69" x14ac:dyDescent="0.3">
      <c r="A72" s="32" t="s">
        <v>601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</row>
    <row r="73" spans="1:69" x14ac:dyDescent="0.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</row>
    <row r="74" spans="1:69" x14ac:dyDescent="0.3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</row>
    <row r="75" spans="1:69" x14ac:dyDescent="0.3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</row>
    <row r="76" spans="1:69" x14ac:dyDescent="0.3">
      <c r="A76" s="33" t="s">
        <v>594</v>
      </c>
      <c r="B76" s="33" t="s">
        <v>600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</row>
    <row r="77" spans="1:69" x14ac:dyDescent="0.3">
      <c r="A77" s="33" t="s">
        <v>592</v>
      </c>
      <c r="B77" s="46">
        <v>45931</v>
      </c>
      <c r="C77" s="46">
        <v>45962</v>
      </c>
      <c r="D77" s="46">
        <v>45992</v>
      </c>
      <c r="E77" s="46">
        <v>46023</v>
      </c>
      <c r="F77" s="46">
        <v>46054</v>
      </c>
      <c r="G77" s="46">
        <v>46082</v>
      </c>
      <c r="H77" s="46">
        <v>46113</v>
      </c>
      <c r="I77" s="46">
        <v>46143</v>
      </c>
      <c r="J77" s="46">
        <v>46174</v>
      </c>
      <c r="K77" s="46">
        <v>46204</v>
      </c>
      <c r="L77" s="46">
        <v>46235</v>
      </c>
      <c r="M77" s="46">
        <v>46266</v>
      </c>
      <c r="N77" s="33" t="s">
        <v>593</v>
      </c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</row>
    <row r="78" spans="1:69" x14ac:dyDescent="0.3">
      <c r="A78" s="47" t="s">
        <v>51</v>
      </c>
      <c r="B78" s="38">
        <v>321</v>
      </c>
      <c r="C78" s="38">
        <v>1324</v>
      </c>
      <c r="D78" s="38">
        <v>4350</v>
      </c>
      <c r="E78" s="38">
        <v>3889</v>
      </c>
      <c r="F78" s="38">
        <v>1803</v>
      </c>
      <c r="G78" s="38">
        <v>418</v>
      </c>
      <c r="H78" s="38">
        <v>5798</v>
      </c>
      <c r="I78" s="38">
        <v>3082</v>
      </c>
      <c r="J78" s="38">
        <v>4878</v>
      </c>
      <c r="K78" s="38">
        <v>2341</v>
      </c>
      <c r="L78" s="38">
        <v>2671</v>
      </c>
      <c r="M78" s="38">
        <v>4796</v>
      </c>
      <c r="N78" s="38">
        <v>35671</v>
      </c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</row>
    <row r="79" spans="1:69" x14ac:dyDescent="0.3">
      <c r="A79" s="47" t="s">
        <v>76</v>
      </c>
      <c r="B79" s="38">
        <v>846</v>
      </c>
      <c r="C79" s="38">
        <v>1892</v>
      </c>
      <c r="D79" s="38">
        <v>1312</v>
      </c>
      <c r="E79" s="38">
        <v>3142</v>
      </c>
      <c r="F79" s="38"/>
      <c r="G79" s="38">
        <v>542</v>
      </c>
      <c r="H79" s="38">
        <v>1123</v>
      </c>
      <c r="I79" s="38">
        <v>938</v>
      </c>
      <c r="J79" s="38">
        <v>3597</v>
      </c>
      <c r="K79" s="38">
        <v>1420</v>
      </c>
      <c r="L79" s="38">
        <v>5302</v>
      </c>
      <c r="M79" s="38">
        <v>1667</v>
      </c>
      <c r="N79" s="38">
        <v>21781</v>
      </c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</row>
    <row r="80" spans="1:69" x14ac:dyDescent="0.3">
      <c r="A80" s="47" t="s">
        <v>26</v>
      </c>
      <c r="B80" s="38">
        <v>11850</v>
      </c>
      <c r="C80" s="38">
        <v>1994</v>
      </c>
      <c r="D80" s="38">
        <v>4189</v>
      </c>
      <c r="E80" s="38">
        <v>7671</v>
      </c>
      <c r="F80" s="38">
        <v>3797</v>
      </c>
      <c r="G80" s="38">
        <v>6251</v>
      </c>
      <c r="H80" s="38">
        <v>3794</v>
      </c>
      <c r="I80" s="38">
        <v>7507</v>
      </c>
      <c r="J80" s="38">
        <v>8096</v>
      </c>
      <c r="K80" s="38">
        <v>5135</v>
      </c>
      <c r="L80" s="38">
        <v>4594</v>
      </c>
      <c r="M80" s="38">
        <v>5668</v>
      </c>
      <c r="N80" s="38">
        <v>70546</v>
      </c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</row>
    <row r="81" spans="1:69" x14ac:dyDescent="0.3">
      <c r="A81" s="47" t="s">
        <v>30</v>
      </c>
      <c r="B81" s="38">
        <v>2483</v>
      </c>
      <c r="C81" s="38">
        <v>5421</v>
      </c>
      <c r="D81" s="38">
        <v>5118</v>
      </c>
      <c r="E81" s="38">
        <v>3287</v>
      </c>
      <c r="F81" s="38">
        <v>2908</v>
      </c>
      <c r="G81" s="38">
        <v>4303</v>
      </c>
      <c r="H81" s="38">
        <v>4280</v>
      </c>
      <c r="I81" s="38">
        <v>2864</v>
      </c>
      <c r="J81" s="38">
        <v>4491</v>
      </c>
      <c r="K81" s="38">
        <v>4039</v>
      </c>
      <c r="L81" s="38">
        <v>2535</v>
      </c>
      <c r="M81" s="38"/>
      <c r="N81" s="38">
        <v>41729</v>
      </c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</row>
    <row r="82" spans="1:69" x14ac:dyDescent="0.3">
      <c r="A82" s="47" t="s">
        <v>10</v>
      </c>
      <c r="B82" s="38">
        <v>10014</v>
      </c>
      <c r="C82" s="38">
        <v>12173</v>
      </c>
      <c r="D82" s="38">
        <v>11896</v>
      </c>
      <c r="E82" s="38">
        <v>9167</v>
      </c>
      <c r="F82" s="38">
        <v>13707</v>
      </c>
      <c r="G82" s="38">
        <v>9975</v>
      </c>
      <c r="H82" s="38">
        <v>13141</v>
      </c>
      <c r="I82" s="38">
        <v>8500</v>
      </c>
      <c r="J82" s="38">
        <v>12033</v>
      </c>
      <c r="K82" s="38">
        <v>10587</v>
      </c>
      <c r="L82" s="38">
        <v>12206</v>
      </c>
      <c r="M82" s="38">
        <v>10124</v>
      </c>
      <c r="N82" s="38">
        <v>133523</v>
      </c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</row>
    <row r="83" spans="1:69" x14ac:dyDescent="0.3">
      <c r="A83" s="47" t="s">
        <v>16</v>
      </c>
      <c r="B83" s="38">
        <v>3897</v>
      </c>
      <c r="C83" s="38">
        <v>6855</v>
      </c>
      <c r="D83" s="38">
        <v>6364</v>
      </c>
      <c r="E83" s="38">
        <v>5361</v>
      </c>
      <c r="F83" s="38">
        <v>4899</v>
      </c>
      <c r="G83" s="38">
        <v>9098</v>
      </c>
      <c r="H83" s="38">
        <v>6825</v>
      </c>
      <c r="I83" s="38">
        <v>14178</v>
      </c>
      <c r="J83" s="38">
        <v>7048</v>
      </c>
      <c r="K83" s="38">
        <v>5232</v>
      </c>
      <c r="L83" s="38">
        <v>12671</v>
      </c>
      <c r="M83" s="38">
        <v>9601</v>
      </c>
      <c r="N83" s="38">
        <v>92029</v>
      </c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</row>
    <row r="84" spans="1:69" x14ac:dyDescent="0.3">
      <c r="A84" s="47" t="s">
        <v>22</v>
      </c>
      <c r="B84" s="38">
        <v>7284</v>
      </c>
      <c r="C84" s="38">
        <v>5954</v>
      </c>
      <c r="D84" s="38">
        <v>11574</v>
      </c>
      <c r="E84" s="38">
        <v>910</v>
      </c>
      <c r="F84" s="38">
        <v>6839</v>
      </c>
      <c r="G84" s="38">
        <v>5687</v>
      </c>
      <c r="H84" s="38">
        <v>1204</v>
      </c>
      <c r="I84" s="38">
        <v>12525</v>
      </c>
      <c r="J84" s="38">
        <v>2114</v>
      </c>
      <c r="K84" s="38">
        <v>9980</v>
      </c>
      <c r="L84" s="38">
        <v>16724</v>
      </c>
      <c r="M84" s="38">
        <v>15714</v>
      </c>
      <c r="N84" s="38">
        <v>96509</v>
      </c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</row>
    <row r="85" spans="1:69" x14ac:dyDescent="0.3">
      <c r="A85" s="47" t="s">
        <v>47</v>
      </c>
      <c r="B85" s="38">
        <v>1977</v>
      </c>
      <c r="C85" s="38">
        <v>1060</v>
      </c>
      <c r="D85" s="38">
        <v>3095</v>
      </c>
      <c r="E85" s="38">
        <v>4693</v>
      </c>
      <c r="F85" s="38">
        <v>2328</v>
      </c>
      <c r="G85" s="38">
        <v>3543</v>
      </c>
      <c r="H85" s="38">
        <v>2177</v>
      </c>
      <c r="I85" s="38">
        <v>1268</v>
      </c>
      <c r="J85" s="38">
        <v>2750</v>
      </c>
      <c r="K85" s="38">
        <v>4296</v>
      </c>
      <c r="L85" s="38">
        <v>4736</v>
      </c>
      <c r="M85" s="38">
        <v>3387</v>
      </c>
      <c r="N85" s="38">
        <v>35310</v>
      </c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</row>
    <row r="86" spans="1:69" x14ac:dyDescent="0.3">
      <c r="A86" s="48" t="s">
        <v>593</v>
      </c>
      <c r="B86" s="49">
        <v>38672</v>
      </c>
      <c r="C86" s="49">
        <v>36673</v>
      </c>
      <c r="D86" s="49">
        <v>47898</v>
      </c>
      <c r="E86" s="49">
        <v>38120</v>
      </c>
      <c r="F86" s="49">
        <v>36281</v>
      </c>
      <c r="G86" s="49">
        <v>39817</v>
      </c>
      <c r="H86" s="49">
        <v>38342</v>
      </c>
      <c r="I86" s="49">
        <v>50862</v>
      </c>
      <c r="J86" s="49">
        <v>45007</v>
      </c>
      <c r="K86" s="49">
        <v>43030</v>
      </c>
      <c r="L86" s="49">
        <v>61439</v>
      </c>
      <c r="M86" s="49">
        <v>50957</v>
      </c>
      <c r="N86" s="49">
        <v>527098</v>
      </c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</row>
    <row r="87" spans="1:69" x14ac:dyDescent="0.3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</row>
    <row r="88" spans="1:69" x14ac:dyDescent="0.3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</row>
    <row r="89" spans="1:69" x14ac:dyDescent="0.3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</row>
    <row r="90" spans="1:69" ht="15.6" x14ac:dyDescent="0.3">
      <c r="A90" s="59" t="s">
        <v>622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</row>
    <row r="91" spans="1:69" x14ac:dyDescent="0.3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</row>
    <row r="92" spans="1:69" x14ac:dyDescent="0.3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</row>
    <row r="93" spans="1:69" x14ac:dyDescent="0.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69" x14ac:dyDescent="0.3">
      <c r="A94" s="43" t="s">
        <v>623</v>
      </c>
      <c r="B94" s="43" t="s">
        <v>594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</row>
    <row r="95" spans="1:69" x14ac:dyDescent="0.3">
      <c r="A95" s="60" t="s">
        <v>14</v>
      </c>
      <c r="B95" s="61">
        <v>268468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69" x14ac:dyDescent="0.3">
      <c r="A96" s="60" t="s">
        <v>20</v>
      </c>
      <c r="B96" s="61">
        <v>258630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</row>
    <row r="97" spans="1:45" x14ac:dyDescent="0.3">
      <c r="A97" s="40" t="s">
        <v>593</v>
      </c>
      <c r="B97" s="41">
        <v>527098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5" x14ac:dyDescent="0.3">
      <c r="A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5" x14ac:dyDescent="0.3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5" x14ac:dyDescent="0.3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5" x14ac:dyDescent="0.3">
      <c r="A101" s="65" t="s">
        <v>624</v>
      </c>
      <c r="B101" s="31"/>
      <c r="C101" s="31"/>
      <c r="D101" s="31"/>
      <c r="E101" s="31"/>
      <c r="F101" s="62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</row>
    <row r="102" spans="1:45" x14ac:dyDescent="0.3">
      <c r="A102" s="62"/>
      <c r="B102" s="62"/>
      <c r="C102" s="62"/>
      <c r="D102" s="62"/>
      <c r="E102" s="62"/>
      <c r="F102" s="62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45" x14ac:dyDescent="0.3">
      <c r="A103" s="62"/>
      <c r="B103" s="67" t="s">
        <v>3</v>
      </c>
      <c r="C103" s="67" t="s">
        <v>626</v>
      </c>
      <c r="D103" s="67" t="s">
        <v>627</v>
      </c>
      <c r="E103" s="67" t="s">
        <v>628</v>
      </c>
      <c r="F103" s="62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</row>
    <row r="104" spans="1:45" x14ac:dyDescent="0.3">
      <c r="A104" s="62"/>
      <c r="B104" s="66" t="s">
        <v>51</v>
      </c>
      <c r="C104" s="29">
        <v>35671</v>
      </c>
      <c r="D104">
        <v>28</v>
      </c>
      <c r="E104" s="29">
        <v>1273.9642857142858</v>
      </c>
      <c r="F104" s="62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x14ac:dyDescent="0.3">
      <c r="A105" s="62"/>
      <c r="B105" s="66" t="s">
        <v>76</v>
      </c>
      <c r="C105" s="29">
        <v>21781</v>
      </c>
      <c r="D105">
        <v>41</v>
      </c>
      <c r="E105" s="29">
        <v>531.2439024390244</v>
      </c>
      <c r="F105" s="62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1:45" x14ac:dyDescent="0.3">
      <c r="A106" s="62"/>
      <c r="B106" s="66" t="s">
        <v>26</v>
      </c>
      <c r="C106" s="29">
        <v>70546</v>
      </c>
      <c r="D106">
        <v>111</v>
      </c>
      <c r="E106" s="29">
        <v>635.54954954954951</v>
      </c>
      <c r="F106" s="62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1:45" x14ac:dyDescent="0.3">
      <c r="A107" s="62"/>
      <c r="B107" s="66" t="s">
        <v>30</v>
      </c>
      <c r="C107" s="29">
        <v>41729</v>
      </c>
      <c r="D107">
        <v>37</v>
      </c>
      <c r="E107" s="29">
        <v>1127.8108108108108</v>
      </c>
      <c r="F107" s="62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x14ac:dyDescent="0.3">
      <c r="A108" s="62"/>
      <c r="B108" s="66" t="s">
        <v>10</v>
      </c>
      <c r="C108" s="29">
        <v>133523</v>
      </c>
      <c r="D108">
        <v>38</v>
      </c>
      <c r="E108" s="29">
        <v>3513.7631578947367</v>
      </c>
      <c r="F108" s="62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</row>
    <row r="109" spans="1:45" x14ac:dyDescent="0.3">
      <c r="A109" s="62"/>
      <c r="B109" s="66" t="s">
        <v>16</v>
      </c>
      <c r="C109" s="29">
        <v>92029</v>
      </c>
      <c r="D109">
        <v>52</v>
      </c>
      <c r="E109" s="29">
        <v>1769.7884615384614</v>
      </c>
      <c r="F109" s="62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</row>
    <row r="110" spans="1:45" x14ac:dyDescent="0.3">
      <c r="A110" s="62"/>
      <c r="B110" s="66" t="s">
        <v>22</v>
      </c>
      <c r="C110" s="29">
        <v>96509</v>
      </c>
      <c r="D110">
        <v>67</v>
      </c>
      <c r="E110" s="29">
        <v>1440.4328358208954</v>
      </c>
      <c r="F110" s="62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</row>
    <row r="111" spans="1:45" x14ac:dyDescent="0.3">
      <c r="A111" s="62"/>
      <c r="B111" s="66" t="s">
        <v>47</v>
      </c>
      <c r="C111" s="29">
        <v>35310</v>
      </c>
      <c r="D111">
        <v>46</v>
      </c>
      <c r="E111" s="29">
        <v>767.60869565217388</v>
      </c>
      <c r="F111" s="62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</row>
    <row r="112" spans="1:45" x14ac:dyDescent="0.3">
      <c r="A112" s="62"/>
      <c r="B112" s="66" t="s">
        <v>625</v>
      </c>
      <c r="C112" s="29">
        <v>527098</v>
      </c>
      <c r="E112" s="29">
        <v>527098</v>
      </c>
      <c r="F112" s="62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x14ac:dyDescent="0.3">
      <c r="A113" s="62"/>
      <c r="B113" s="68" t="s">
        <v>593</v>
      </c>
      <c r="C113" s="69">
        <v>1054196</v>
      </c>
      <c r="D113" s="70">
        <v>420</v>
      </c>
      <c r="E113" s="69">
        <v>2504.0285035629454</v>
      </c>
      <c r="F113" s="62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x14ac:dyDescent="0.3">
      <c r="A114" s="62"/>
      <c r="B114" s="62"/>
      <c r="C114" s="62"/>
      <c r="D114" s="62"/>
      <c r="E114" s="62"/>
      <c r="F114" s="62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</row>
    <row r="115" spans="1:45" x14ac:dyDescent="0.3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</row>
    <row r="116" spans="1:45" x14ac:dyDescent="0.3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</row>
    <row r="117" spans="1:45" x14ac:dyDescent="0.3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5" x14ac:dyDescent="0.3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x14ac:dyDescent="0.3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5" x14ac:dyDescent="0.3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5" x14ac:dyDescent="0.3"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5" x14ac:dyDescent="0.3">
      <c r="C122" s="31"/>
      <c r="D122" s="31"/>
      <c r="E122" s="31"/>
      <c r="F122" s="31"/>
      <c r="G122" s="31"/>
      <c r="H122" s="31"/>
    </row>
    <row r="123" spans="1:45" x14ac:dyDescent="0.3">
      <c r="C123" s="31"/>
      <c r="D123" s="31"/>
      <c r="E123" s="31"/>
      <c r="F123" s="31"/>
      <c r="G123" s="31"/>
      <c r="H123" s="31"/>
    </row>
    <row r="124" spans="1:45" x14ac:dyDescent="0.3">
      <c r="C124" s="31"/>
      <c r="D124" s="31"/>
      <c r="E124" s="31"/>
      <c r="F124" s="31"/>
      <c r="G124" s="31"/>
      <c r="H124" s="31"/>
    </row>
    <row r="125" spans="1:45" x14ac:dyDescent="0.3">
      <c r="C125" s="31"/>
      <c r="D125" s="31"/>
      <c r="E125" s="31"/>
      <c r="F125" s="31"/>
      <c r="G125" s="31"/>
      <c r="H125" s="31"/>
    </row>
    <row r="126" spans="1:45" x14ac:dyDescent="0.3">
      <c r="C126" s="31"/>
      <c r="D126" s="31"/>
      <c r="E126" s="31"/>
      <c r="F126" s="31"/>
      <c r="G126" s="31"/>
      <c r="H126" s="31"/>
    </row>
    <row r="127" spans="1:45" x14ac:dyDescent="0.3">
      <c r="C127" s="31"/>
      <c r="D127" s="31"/>
      <c r="E127" s="31"/>
      <c r="F127" s="31"/>
      <c r="G127" s="31"/>
      <c r="H127" s="31"/>
    </row>
    <row r="128" spans="1:45" x14ac:dyDescent="0.3">
      <c r="C128" s="31"/>
      <c r="D128" s="31"/>
      <c r="E128" s="31"/>
      <c r="F128" s="31"/>
      <c r="G128" s="31"/>
      <c r="H128" s="31"/>
    </row>
    <row r="129" spans="3:8" x14ac:dyDescent="0.3">
      <c r="C129" s="31"/>
      <c r="D129" s="31"/>
      <c r="E129" s="31"/>
      <c r="F129" s="31"/>
      <c r="G129" s="31"/>
      <c r="H129" s="31"/>
    </row>
    <row r="130" spans="3:8" x14ac:dyDescent="0.3">
      <c r="C130" s="31"/>
      <c r="D130" s="31"/>
      <c r="E130" s="31"/>
      <c r="F130" s="31"/>
      <c r="G130" s="31"/>
      <c r="H130" s="31"/>
    </row>
    <row r="131" spans="3:8" x14ac:dyDescent="0.3">
      <c r="C131" s="31"/>
      <c r="D131" s="31"/>
      <c r="E131" s="31"/>
      <c r="F131" s="31"/>
      <c r="G131" s="31"/>
      <c r="H131" s="31"/>
    </row>
    <row r="132" spans="3:8" x14ac:dyDescent="0.3">
      <c r="C132" s="31"/>
      <c r="D132" s="31"/>
      <c r="E132" s="31"/>
      <c r="F132" s="31"/>
      <c r="G132" s="31"/>
    </row>
    <row r="133" spans="3:8" x14ac:dyDescent="0.3">
      <c r="C133" s="31"/>
      <c r="D133" s="31"/>
      <c r="E133" s="31"/>
      <c r="F133" s="31"/>
      <c r="G133" s="31"/>
    </row>
    <row r="134" spans="3:8" x14ac:dyDescent="0.3">
      <c r="C134" s="31"/>
      <c r="D134" s="31"/>
      <c r="E134" s="31"/>
      <c r="F134" s="31"/>
      <c r="G134" s="31"/>
    </row>
    <row r="135" spans="3:8" x14ac:dyDescent="0.3">
      <c r="C135" s="31"/>
      <c r="D135" s="31"/>
      <c r="E135" s="31"/>
      <c r="F135" s="31"/>
      <c r="G135" s="31"/>
    </row>
    <row r="136" spans="3:8" x14ac:dyDescent="0.3">
      <c r="C136" s="31"/>
      <c r="D136" s="31"/>
      <c r="E136" s="31"/>
      <c r="F136" s="31"/>
      <c r="G136" s="31"/>
    </row>
    <row r="137" spans="3:8" x14ac:dyDescent="0.3">
      <c r="C137" s="31"/>
      <c r="D137" s="31"/>
      <c r="E137" s="31"/>
      <c r="F137" s="31"/>
      <c r="G137" s="31"/>
    </row>
    <row r="138" spans="3:8" x14ac:dyDescent="0.3">
      <c r="C138" s="31"/>
      <c r="D138" s="31"/>
      <c r="E138" s="31"/>
      <c r="F138" s="31"/>
      <c r="G138" s="31"/>
    </row>
    <row r="139" spans="3:8" x14ac:dyDescent="0.3">
      <c r="C139" s="31"/>
      <c r="D139" s="31"/>
      <c r="E139" s="31"/>
      <c r="F139" s="31"/>
      <c r="G139" s="31"/>
    </row>
    <row r="140" spans="3:8" x14ac:dyDescent="0.3">
      <c r="C140" s="31"/>
      <c r="D140" s="31"/>
      <c r="E140" s="31"/>
      <c r="F140" s="31"/>
      <c r="G140" s="31"/>
    </row>
    <row r="141" spans="3:8" x14ac:dyDescent="0.3">
      <c r="C141" s="31"/>
      <c r="D141" s="31"/>
      <c r="E141" s="31"/>
      <c r="F141" s="31"/>
      <c r="G141" s="31"/>
    </row>
    <row r="142" spans="3:8" x14ac:dyDescent="0.3">
      <c r="C142" s="31"/>
      <c r="D142" s="31"/>
      <c r="E142" s="31"/>
      <c r="F142" s="31"/>
      <c r="G142" s="31"/>
    </row>
    <row r="143" spans="3:8" x14ac:dyDescent="0.3">
      <c r="C143" s="31"/>
      <c r="D143" s="31"/>
      <c r="E143" s="31"/>
      <c r="F143" s="31"/>
      <c r="G143" s="31"/>
    </row>
    <row r="144" spans="3:8" x14ac:dyDescent="0.3">
      <c r="C144" s="31"/>
      <c r="D144" s="31"/>
      <c r="E144" s="31"/>
      <c r="F144" s="31"/>
      <c r="G144" s="31"/>
    </row>
    <row r="145" spans="3:7" x14ac:dyDescent="0.3">
      <c r="C145" s="31"/>
      <c r="D145" s="31"/>
      <c r="E145" s="31"/>
      <c r="F145" s="31"/>
      <c r="G145" s="31"/>
    </row>
    <row r="146" spans="3:7" x14ac:dyDescent="0.3">
      <c r="C146" s="31"/>
      <c r="D146" s="31"/>
      <c r="E146" s="31"/>
      <c r="F146" s="31"/>
      <c r="G146" s="31"/>
    </row>
    <row r="147" spans="3:7" x14ac:dyDescent="0.3">
      <c r="C147" s="31"/>
      <c r="D147" s="31"/>
      <c r="E147" s="31"/>
      <c r="F147" s="31"/>
      <c r="G147" s="31"/>
    </row>
    <row r="148" spans="3:7" x14ac:dyDescent="0.3">
      <c r="C148" s="31"/>
      <c r="D148" s="31"/>
      <c r="E148" s="31"/>
      <c r="F148" s="31"/>
      <c r="G148" s="31"/>
    </row>
    <row r="149" spans="3:7" x14ac:dyDescent="0.3">
      <c r="C149" s="31"/>
      <c r="D149" s="31"/>
      <c r="E149" s="31"/>
      <c r="F149" s="31"/>
      <c r="G149" s="31"/>
    </row>
    <row r="150" spans="3:7" x14ac:dyDescent="0.3">
      <c r="C150" s="31"/>
      <c r="D150" s="31"/>
      <c r="E150" s="31"/>
      <c r="F150" s="31"/>
      <c r="G150" s="31"/>
    </row>
    <row r="151" spans="3:7" x14ac:dyDescent="0.3">
      <c r="C151" s="31"/>
      <c r="D151" s="31"/>
      <c r="E151" s="31"/>
      <c r="F151" s="31"/>
      <c r="G151" s="31"/>
    </row>
    <row r="152" spans="3:7" x14ac:dyDescent="0.3">
      <c r="C152" s="31"/>
      <c r="D152" s="31"/>
      <c r="E152" s="31"/>
      <c r="F152" s="31"/>
      <c r="G152" s="31"/>
    </row>
    <row r="153" spans="3:7" x14ac:dyDescent="0.3">
      <c r="C153" s="31"/>
      <c r="D153" s="31"/>
      <c r="E153" s="31"/>
      <c r="F153" s="31"/>
      <c r="G153" s="31"/>
    </row>
    <row r="154" spans="3:7" x14ac:dyDescent="0.3">
      <c r="C154" s="31"/>
      <c r="D154" s="31"/>
      <c r="E154" s="31"/>
      <c r="F154" s="31"/>
      <c r="G154" s="31"/>
    </row>
    <row r="155" spans="3:7" x14ac:dyDescent="0.3">
      <c r="C155" s="31"/>
      <c r="D155" s="31"/>
      <c r="E155" s="31"/>
      <c r="F155" s="31"/>
      <c r="G155" s="31"/>
    </row>
    <row r="156" spans="3:7" x14ac:dyDescent="0.3">
      <c r="C156" s="31"/>
      <c r="D156" s="31"/>
      <c r="E156" s="31"/>
      <c r="F156" s="31"/>
      <c r="G156" s="31"/>
    </row>
    <row r="157" spans="3:7" x14ac:dyDescent="0.3">
      <c r="C157" s="31"/>
      <c r="D157" s="31"/>
      <c r="E157" s="31"/>
      <c r="F157" s="31"/>
      <c r="G157" s="31"/>
    </row>
    <row r="158" spans="3:7" x14ac:dyDescent="0.3">
      <c r="C158" s="31"/>
      <c r="D158" s="31"/>
      <c r="E158" s="31"/>
      <c r="F158" s="31"/>
      <c r="G158" s="31"/>
    </row>
    <row r="159" spans="3:7" x14ac:dyDescent="0.3">
      <c r="C159" s="31"/>
      <c r="D159" s="31"/>
      <c r="E159" s="31"/>
      <c r="F159" s="31"/>
      <c r="G159" s="31"/>
    </row>
    <row r="160" spans="3:7" x14ac:dyDescent="0.3">
      <c r="C160" s="31"/>
      <c r="D160" s="31"/>
      <c r="E160" s="31"/>
      <c r="F160" s="31"/>
      <c r="G160" s="31"/>
    </row>
    <row r="161" spans="3:7" x14ac:dyDescent="0.3">
      <c r="C161" s="31"/>
      <c r="D161" s="31"/>
      <c r="E161" s="31"/>
      <c r="F161" s="31"/>
      <c r="G161" s="31"/>
    </row>
    <row r="162" spans="3:7" x14ac:dyDescent="0.3">
      <c r="C162" s="31"/>
      <c r="D162" s="31"/>
      <c r="E162" s="31"/>
      <c r="F162" s="31"/>
      <c r="G162" s="31"/>
    </row>
    <row r="163" spans="3:7" x14ac:dyDescent="0.3">
      <c r="C163" s="31"/>
      <c r="D163" s="31"/>
      <c r="E163" s="31"/>
      <c r="F163" s="31"/>
      <c r="G163" s="31"/>
    </row>
    <row r="164" spans="3:7" x14ac:dyDescent="0.3">
      <c r="C164" s="31"/>
      <c r="D164" s="31"/>
      <c r="E164" s="31"/>
      <c r="F164" s="31"/>
      <c r="G164" s="31"/>
    </row>
    <row r="165" spans="3:7" x14ac:dyDescent="0.3">
      <c r="C165" s="31"/>
      <c r="D165" s="31"/>
      <c r="E165" s="31"/>
      <c r="F165" s="31"/>
      <c r="G165" s="31"/>
    </row>
    <row r="166" spans="3:7" x14ac:dyDescent="0.3">
      <c r="C166" s="31"/>
      <c r="D166" s="31"/>
      <c r="E166" s="31"/>
      <c r="F166" s="31"/>
      <c r="G166" s="31"/>
    </row>
    <row r="167" spans="3:7" x14ac:dyDescent="0.3">
      <c r="C167" s="31"/>
      <c r="D167" s="31"/>
      <c r="E167" s="31"/>
      <c r="F167" s="31"/>
      <c r="G167" s="31"/>
    </row>
    <row r="168" spans="3:7" x14ac:dyDescent="0.3">
      <c r="C168" s="31"/>
      <c r="D168" s="31"/>
      <c r="E168" s="31"/>
      <c r="F168" s="31"/>
      <c r="G168" s="31"/>
    </row>
    <row r="169" spans="3:7" x14ac:dyDescent="0.3">
      <c r="C169" s="31"/>
      <c r="D169" s="31"/>
      <c r="E169" s="31"/>
      <c r="F169" s="31"/>
      <c r="G169" s="31"/>
    </row>
    <row r="170" spans="3:7" x14ac:dyDescent="0.3">
      <c r="C170" s="31"/>
      <c r="D170" s="31"/>
      <c r="E170" s="31"/>
      <c r="F170" s="31"/>
      <c r="G170" s="31"/>
    </row>
    <row r="171" spans="3:7" x14ac:dyDescent="0.3">
      <c r="C171" s="31"/>
      <c r="D171" s="31"/>
      <c r="E171" s="31"/>
      <c r="F171" s="31"/>
      <c r="G171" s="31"/>
    </row>
    <row r="172" spans="3:7" x14ac:dyDescent="0.3">
      <c r="C172" s="31"/>
      <c r="D172" s="31"/>
      <c r="E172" s="31"/>
      <c r="F172" s="31"/>
      <c r="G172" s="31"/>
    </row>
    <row r="173" spans="3:7" x14ac:dyDescent="0.3">
      <c r="C173" s="31"/>
      <c r="D173" s="31"/>
      <c r="E173" s="31"/>
      <c r="F173" s="31"/>
      <c r="G173" s="31"/>
    </row>
    <row r="174" spans="3:7" x14ac:dyDescent="0.3">
      <c r="C174" s="31"/>
      <c r="D174" s="31"/>
      <c r="E174" s="31"/>
      <c r="F174" s="31"/>
      <c r="G174" s="31"/>
    </row>
  </sheetData>
  <mergeCells count="2">
    <mergeCell ref="G11:H11"/>
    <mergeCell ref="I51:J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C873-144D-413A-A132-7ACBF05BFDDE}">
  <dimension ref="A1:Z66"/>
  <sheetViews>
    <sheetView tabSelected="1" view="pageBreakPreview" zoomScale="60" zoomScaleNormal="41" workbookViewId="0">
      <selection activeCell="AI36" sqref="AI36"/>
    </sheetView>
  </sheetViews>
  <sheetFormatPr defaultRowHeight="14.4" x14ac:dyDescent="0.3"/>
  <cols>
    <col min="1" max="1" width="16" style="62" customWidth="1"/>
    <col min="2" max="2" width="16.21875" style="62" customWidth="1"/>
    <col min="3" max="3" width="2.88671875" style="62" customWidth="1"/>
    <col min="4" max="22" width="8.88671875" style="62"/>
    <col min="23" max="23" width="8.88671875" style="62" customWidth="1"/>
    <col min="24" max="24" width="8.88671875" style="62"/>
    <col min="25" max="25" width="8.88671875" style="62" customWidth="1"/>
    <col min="26" max="16384" width="8.88671875" style="62"/>
  </cols>
  <sheetData>
    <row r="1" spans="1:26" ht="14.4" customHeight="1" x14ac:dyDescent="0.8">
      <c r="A1" s="63"/>
      <c r="B1" s="63"/>
      <c r="C1" s="77" t="s">
        <v>629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6"/>
      <c r="X1" s="76"/>
      <c r="Y1" s="76"/>
      <c r="Z1" s="76"/>
    </row>
    <row r="2" spans="1:26" ht="14.4" customHeight="1" x14ac:dyDescent="0.8">
      <c r="A2" s="63"/>
      <c r="B2" s="63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6"/>
      <c r="X2" s="76"/>
      <c r="Y2" s="76"/>
      <c r="Z2" s="76"/>
    </row>
    <row r="3" spans="1:26" ht="19.2" customHeight="1" x14ac:dyDescent="0.8">
      <c r="A3" s="84" t="s">
        <v>604</v>
      </c>
      <c r="B3" s="84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6"/>
      <c r="X3" s="76"/>
      <c r="Y3" s="76"/>
      <c r="Z3" s="76"/>
    </row>
    <row r="4" spans="1:26" x14ac:dyDescent="0.3">
      <c r="A4" s="50"/>
      <c r="B4" s="50"/>
    </row>
    <row r="5" spans="1:26" x14ac:dyDescent="0.3">
      <c r="A5" s="50"/>
      <c r="B5" s="50"/>
    </row>
    <row r="6" spans="1:26" x14ac:dyDescent="0.3">
      <c r="A6" s="50"/>
      <c r="B6" s="50"/>
      <c r="D6" s="81"/>
      <c r="E6" s="81"/>
      <c r="F6" s="81"/>
      <c r="H6" s="78"/>
      <c r="I6" s="79"/>
      <c r="J6" s="79"/>
      <c r="L6" s="80"/>
      <c r="M6" s="79"/>
      <c r="N6" s="79"/>
    </row>
    <row r="7" spans="1:26" ht="14.4" customHeight="1" x14ac:dyDescent="0.3">
      <c r="A7" s="85" t="s">
        <v>605</v>
      </c>
      <c r="B7" s="85"/>
      <c r="D7" s="81"/>
      <c r="E7" s="81"/>
      <c r="F7" s="81"/>
      <c r="H7" s="79"/>
      <c r="I7" s="79"/>
      <c r="J7" s="79"/>
      <c r="L7" s="79"/>
      <c r="M7" s="79"/>
      <c r="N7" s="79"/>
    </row>
    <row r="8" spans="1:26" x14ac:dyDescent="0.3">
      <c r="A8" s="86" t="str">
        <f>TEXT(MIN([1]Dataset!$C$2:$C$421),"mmm yyyy")&amp;" – "&amp;TEXT(MAX([1]Dataset!$B$2:$B$421),"mmm yyyy")</f>
        <v>Oct 2025 – Sep 2026</v>
      </c>
      <c r="B8" s="86"/>
      <c r="D8" s="82"/>
      <c r="E8" s="82"/>
      <c r="F8" s="82"/>
    </row>
    <row r="9" spans="1:26" x14ac:dyDescent="0.3">
      <c r="A9" s="50"/>
      <c r="B9" s="50"/>
      <c r="D9" s="82"/>
      <c r="E9" s="82"/>
      <c r="F9" s="82"/>
    </row>
    <row r="10" spans="1:26" x14ac:dyDescent="0.3">
      <c r="A10" s="50"/>
      <c r="B10" s="50"/>
      <c r="D10" s="82"/>
      <c r="E10" s="82"/>
      <c r="F10" s="82"/>
    </row>
    <row r="11" spans="1:26" x14ac:dyDescent="0.3">
      <c r="A11" s="50"/>
      <c r="B11" s="50"/>
    </row>
    <row r="12" spans="1:26" x14ac:dyDescent="0.3">
      <c r="A12" s="83" t="s">
        <v>606</v>
      </c>
      <c r="B12" s="83"/>
    </row>
    <row r="13" spans="1:26" x14ac:dyDescent="0.3">
      <c r="A13" s="51" t="str">
        <f>'[1]KPI Workings'!K35</f>
        <v>Rent</v>
      </c>
      <c r="B13" s="52">
        <f>'[1]KPI Workings'!L35</f>
        <v>133523</v>
      </c>
    </row>
    <row r="14" spans="1:26" x14ac:dyDescent="0.3">
      <c r="A14" s="51" t="str">
        <f>'[1]KPI Workings'!K36</f>
        <v>Travel</v>
      </c>
      <c r="B14" s="52">
        <f>'[1]KPI Workings'!L36</f>
        <v>96509</v>
      </c>
    </row>
    <row r="15" spans="1:26" x14ac:dyDescent="0.3">
      <c r="A15" s="51" t="str">
        <f>'[1]KPI Workings'!K37</f>
        <v>Shopping</v>
      </c>
      <c r="B15" s="52">
        <f>'[1]KPI Workings'!L37</f>
        <v>92029</v>
      </c>
    </row>
    <row r="16" spans="1:26" x14ac:dyDescent="0.3">
      <c r="A16" s="51" t="str">
        <f>'[1]KPI Workings'!K38</f>
        <v>Food &amp; Dining</v>
      </c>
      <c r="B16" s="52">
        <f>'[1]KPI Workings'!L38</f>
        <v>70546</v>
      </c>
    </row>
    <row r="17" spans="1:2" x14ac:dyDescent="0.3">
      <c r="A17" s="51" t="str">
        <f>'[1]KPI Workings'!K39</f>
        <v>Health</v>
      </c>
      <c r="B17" s="52">
        <f>'[1]KPI Workings'!L39</f>
        <v>41729</v>
      </c>
    </row>
    <row r="18" spans="1:2" x14ac:dyDescent="0.3">
      <c r="A18" s="51" t="str">
        <f>'[1]KPI Workings'!K40</f>
        <v>Education</v>
      </c>
      <c r="B18" s="52">
        <f>'[1]KPI Workings'!L40</f>
        <v>35671</v>
      </c>
    </row>
    <row r="19" spans="1:2" x14ac:dyDescent="0.3">
      <c r="A19" s="51" t="str">
        <f>'[1]KPI Workings'!K41</f>
        <v>Utilities</v>
      </c>
      <c r="B19" s="52">
        <f>'[1]KPI Workings'!L41</f>
        <v>35310</v>
      </c>
    </row>
    <row r="20" spans="1:2" x14ac:dyDescent="0.3">
      <c r="A20" s="51" t="str">
        <f>'[1]KPI Workings'!K42</f>
        <v>Entertainment</v>
      </c>
      <c r="B20" s="52">
        <f>'[1]KPI Workings'!L42</f>
        <v>21781</v>
      </c>
    </row>
    <row r="21" spans="1:2" x14ac:dyDescent="0.3">
      <c r="A21" s="50"/>
      <c r="B21" s="50"/>
    </row>
    <row r="22" spans="1:2" x14ac:dyDescent="0.3">
      <c r="A22" s="50"/>
      <c r="B22" s="50"/>
    </row>
    <row r="23" spans="1:2" x14ac:dyDescent="0.3">
      <c r="A23" s="50"/>
      <c r="B23" s="50"/>
    </row>
    <row r="24" spans="1:2" x14ac:dyDescent="0.3">
      <c r="A24" s="50"/>
      <c r="B24" s="50"/>
    </row>
    <row r="25" spans="1:2" x14ac:dyDescent="0.3">
      <c r="A25" s="83" t="s">
        <v>607</v>
      </c>
      <c r="B25" s="83"/>
    </row>
    <row r="26" spans="1:2" x14ac:dyDescent="0.3">
      <c r="A26" s="51" t="str">
        <f>'[1]KPI Workings'!A63</f>
        <v>UPI</v>
      </c>
      <c r="B26" s="52">
        <f>'[1]KPI Workings'!B63</f>
        <v>210878</v>
      </c>
    </row>
    <row r="27" spans="1:2" x14ac:dyDescent="0.3">
      <c r="A27" s="51" t="str">
        <f>'[1]KPI Workings'!A64</f>
        <v>Credit Card</v>
      </c>
      <c r="B27" s="52">
        <f>'[1]KPI Workings'!B64</f>
        <v>79775</v>
      </c>
    </row>
    <row r="28" spans="1:2" x14ac:dyDescent="0.3">
      <c r="A28" s="51" t="str">
        <f>'[1]KPI Workings'!A65</f>
        <v>Debit Card</v>
      </c>
      <c r="B28" s="52">
        <f>'[1]KPI Workings'!B65</f>
        <v>71766</v>
      </c>
    </row>
    <row r="29" spans="1:2" x14ac:dyDescent="0.3">
      <c r="A29" s="51" t="str">
        <f>'[1]KPI Workings'!A66</f>
        <v>Cash</v>
      </c>
      <c r="B29" s="52">
        <f>'[1]KPI Workings'!B66</f>
        <v>36035</v>
      </c>
    </row>
    <row r="30" spans="1:2" x14ac:dyDescent="0.3">
      <c r="A30" s="51" t="str">
        <f>'[1]KPI Workings'!A67</f>
        <v>Net Banking</v>
      </c>
      <c r="B30" s="52">
        <f>'[1]KPI Workings'!B67</f>
        <v>128644</v>
      </c>
    </row>
    <row r="31" spans="1:2" x14ac:dyDescent="0.3">
      <c r="A31" s="50"/>
      <c r="B31" s="50"/>
    </row>
    <row r="32" spans="1:2" x14ac:dyDescent="0.3">
      <c r="A32" s="50"/>
      <c r="B32" s="50"/>
    </row>
    <row r="33" spans="1:2" x14ac:dyDescent="0.3">
      <c r="A33" s="50"/>
      <c r="B33" s="50"/>
    </row>
    <row r="34" spans="1:2" x14ac:dyDescent="0.3">
      <c r="A34" s="50"/>
      <c r="B34" s="50"/>
    </row>
    <row r="35" spans="1:2" x14ac:dyDescent="0.3">
      <c r="A35" s="50"/>
      <c r="B35" s="50"/>
    </row>
    <row r="36" spans="1:2" x14ac:dyDescent="0.3">
      <c r="A36" s="83" t="s">
        <v>608</v>
      </c>
      <c r="B36" s="83"/>
    </row>
    <row r="37" spans="1:2" x14ac:dyDescent="0.3">
      <c r="A37" s="51" t="s">
        <v>609</v>
      </c>
      <c r="B37" s="52">
        <f>'[1]KPI Workings'!B22</f>
        <v>268468</v>
      </c>
    </row>
    <row r="38" spans="1:2" x14ac:dyDescent="0.3">
      <c r="A38" s="51" t="s">
        <v>610</v>
      </c>
      <c r="B38" s="52">
        <f>'[1]KPI Workings'!B23</f>
        <v>258630</v>
      </c>
    </row>
    <row r="39" spans="1:2" x14ac:dyDescent="0.3">
      <c r="A39" s="51" t="s">
        <v>611</v>
      </c>
      <c r="B39" s="53">
        <f>'[1]KPI Workings'!B24</f>
        <v>0.50933223043912135</v>
      </c>
    </row>
    <row r="40" spans="1:2" x14ac:dyDescent="0.3">
      <c r="A40" s="51" t="s">
        <v>612</v>
      </c>
      <c r="B40" s="53">
        <f>'[1]KPI Workings'!B25</f>
        <v>0.4906677695608786</v>
      </c>
    </row>
    <row r="41" spans="1:2" x14ac:dyDescent="0.3">
      <c r="A41" s="50"/>
      <c r="B41" s="50"/>
    </row>
    <row r="42" spans="1:2" x14ac:dyDescent="0.3">
      <c r="A42" s="50"/>
      <c r="B42" s="50"/>
    </row>
    <row r="43" spans="1:2" x14ac:dyDescent="0.3">
      <c r="A43" s="50"/>
      <c r="B43" s="50"/>
    </row>
    <row r="44" spans="1:2" x14ac:dyDescent="0.3">
      <c r="A44" s="83" t="s">
        <v>613</v>
      </c>
      <c r="B44" s="83"/>
    </row>
    <row r="45" spans="1:2" x14ac:dyDescent="0.3">
      <c r="A45" s="51" t="s">
        <v>614</v>
      </c>
      <c r="B45" s="52">
        <f>'[1]KPI Workings'!B15</f>
        <v>660000</v>
      </c>
    </row>
    <row r="46" spans="1:2" x14ac:dyDescent="0.3">
      <c r="A46" s="51" t="s">
        <v>615</v>
      </c>
      <c r="B46" s="52">
        <f>'[1]KPI Workings'!B10</f>
        <v>527098</v>
      </c>
    </row>
    <row r="47" spans="1:2" x14ac:dyDescent="0.3">
      <c r="A47" s="51" t="s">
        <v>581</v>
      </c>
      <c r="B47" s="54">
        <f>'[1]KPI Workings'!B16</f>
        <v>132902</v>
      </c>
    </row>
    <row r="48" spans="1:2" x14ac:dyDescent="0.3">
      <c r="A48" s="51" t="s">
        <v>582</v>
      </c>
      <c r="B48" s="53">
        <f>'[1]KPI Workings'!B17</f>
        <v>0.20136666666666667</v>
      </c>
    </row>
    <row r="49" spans="1:21" x14ac:dyDescent="0.3">
      <c r="A49" s="50"/>
      <c r="B49" s="50"/>
    </row>
    <row r="50" spans="1:21" x14ac:dyDescent="0.3">
      <c r="A50" s="50"/>
      <c r="B50" s="50"/>
    </row>
    <row r="51" spans="1:21" x14ac:dyDescent="0.3">
      <c r="A51" s="50"/>
      <c r="B51" s="50"/>
    </row>
    <row r="52" spans="1:21" x14ac:dyDescent="0.3">
      <c r="A52" s="50"/>
      <c r="B52" s="50"/>
    </row>
    <row r="53" spans="1:21" x14ac:dyDescent="0.3">
      <c r="A53" s="50"/>
      <c r="B53" s="50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64"/>
      <c r="R53" s="74"/>
      <c r="S53" s="74"/>
      <c r="T53" s="74"/>
      <c r="U53" s="74"/>
    </row>
    <row r="54" spans="1:21" x14ac:dyDescent="0.3">
      <c r="A54" s="50"/>
      <c r="B54" s="50"/>
      <c r="D54" s="90"/>
      <c r="E54" s="90"/>
      <c r="F54" s="90"/>
      <c r="G54" s="91"/>
      <c r="H54" s="91"/>
      <c r="I54" s="91"/>
      <c r="J54" s="91"/>
      <c r="K54" s="92"/>
      <c r="L54" s="92"/>
      <c r="M54" s="88"/>
      <c r="N54" s="88"/>
      <c r="O54" s="89"/>
      <c r="P54" s="89"/>
      <c r="Q54" s="64"/>
      <c r="R54" s="75"/>
      <c r="S54" s="75"/>
      <c r="T54" s="75"/>
      <c r="U54" s="75"/>
    </row>
    <row r="55" spans="1:21" x14ac:dyDescent="0.3">
      <c r="A55" s="83" t="s">
        <v>616</v>
      </c>
      <c r="B55" s="83"/>
      <c r="D55" s="90"/>
      <c r="E55" s="90"/>
      <c r="F55" s="90"/>
      <c r="G55" s="91"/>
      <c r="H55" s="91"/>
      <c r="I55" s="91"/>
      <c r="J55" s="91"/>
      <c r="K55" s="92"/>
      <c r="L55" s="92"/>
      <c r="M55" s="88"/>
      <c r="N55" s="88"/>
      <c r="O55" s="89"/>
      <c r="P55" s="89"/>
      <c r="Q55" s="64"/>
      <c r="R55" s="75"/>
      <c r="S55" s="75"/>
      <c r="T55" s="75"/>
      <c r="U55" s="75"/>
    </row>
    <row r="56" spans="1:21" x14ac:dyDescent="0.3">
      <c r="A56" s="51" t="s">
        <v>617</v>
      </c>
      <c r="B56" s="52">
        <f>'[1]KPI Workings'!B10</f>
        <v>527098</v>
      </c>
      <c r="D56" s="90"/>
      <c r="E56" s="90"/>
      <c r="F56" s="90"/>
      <c r="G56" s="91"/>
      <c r="H56" s="91"/>
      <c r="I56" s="91"/>
      <c r="J56" s="91"/>
      <c r="K56" s="92"/>
      <c r="L56" s="92"/>
      <c r="M56" s="88"/>
      <c r="N56" s="88"/>
      <c r="O56" s="89"/>
      <c r="P56" s="89"/>
      <c r="Q56" s="64"/>
      <c r="R56" s="75"/>
      <c r="S56" s="75"/>
      <c r="T56" s="75"/>
      <c r="U56" s="75"/>
    </row>
    <row r="57" spans="1:21" x14ac:dyDescent="0.3">
      <c r="A57" s="51" t="s">
        <v>618</v>
      </c>
      <c r="B57" s="52">
        <f>'[1]KPI Workings'!B18</f>
        <v>0.95488768115942024</v>
      </c>
      <c r="D57" s="90"/>
      <c r="E57" s="90"/>
      <c r="F57" s="90"/>
      <c r="G57" s="91"/>
      <c r="H57" s="91"/>
      <c r="I57" s="91"/>
      <c r="J57" s="91"/>
      <c r="K57" s="92"/>
      <c r="L57" s="92"/>
      <c r="M57" s="88"/>
      <c r="N57" s="88"/>
      <c r="O57" s="89"/>
      <c r="P57" s="89"/>
      <c r="Q57" s="64"/>
      <c r="R57" s="75"/>
      <c r="S57" s="75"/>
      <c r="T57" s="75"/>
      <c r="U57" s="75"/>
    </row>
    <row r="58" spans="1:21" x14ac:dyDescent="0.3">
      <c r="A58" s="51" t="s">
        <v>619</v>
      </c>
      <c r="B58" s="53">
        <f>'[1]KPI Workings'!B22</f>
        <v>268468</v>
      </c>
      <c r="D58" s="90"/>
      <c r="E58" s="90"/>
      <c r="F58" s="90"/>
      <c r="G58" s="91"/>
      <c r="H58" s="91"/>
      <c r="I58" s="91"/>
      <c r="J58" s="91"/>
      <c r="K58" s="92"/>
      <c r="L58" s="92"/>
      <c r="M58" s="88"/>
      <c r="N58" s="88"/>
      <c r="O58" s="89"/>
      <c r="P58" s="89"/>
      <c r="Q58" s="64"/>
      <c r="R58" s="75"/>
      <c r="S58" s="75"/>
      <c r="T58" s="75"/>
      <c r="U58" s="75"/>
    </row>
    <row r="59" spans="1:21" x14ac:dyDescent="0.3">
      <c r="A59" s="50"/>
      <c r="B59" s="50"/>
      <c r="D59" s="90"/>
      <c r="E59" s="90"/>
      <c r="F59" s="90"/>
      <c r="G59" s="91"/>
      <c r="H59" s="91"/>
      <c r="I59" s="91"/>
      <c r="J59" s="91"/>
      <c r="K59" s="92"/>
      <c r="L59" s="92"/>
      <c r="M59" s="88"/>
      <c r="N59" s="88"/>
      <c r="O59" s="89"/>
      <c r="P59" s="89"/>
      <c r="Q59" s="64"/>
      <c r="R59" s="75"/>
      <c r="S59" s="75"/>
      <c r="T59" s="75"/>
      <c r="U59" s="75"/>
    </row>
    <row r="60" spans="1:21" x14ac:dyDescent="0.3">
      <c r="A60" s="50"/>
      <c r="B60" s="50"/>
      <c r="D60" s="90"/>
      <c r="E60" s="90"/>
      <c r="F60" s="90"/>
      <c r="G60" s="91"/>
      <c r="H60" s="91"/>
      <c r="I60" s="91"/>
      <c r="J60" s="91"/>
      <c r="K60" s="92"/>
      <c r="L60" s="92"/>
      <c r="M60" s="88"/>
      <c r="N60" s="88"/>
      <c r="O60" s="89"/>
      <c r="P60" s="89"/>
      <c r="Q60" s="64"/>
      <c r="R60" s="75"/>
      <c r="S60" s="75"/>
      <c r="T60" s="75"/>
      <c r="U60" s="75"/>
    </row>
    <row r="61" spans="1:21" x14ac:dyDescent="0.3">
      <c r="A61" s="50"/>
      <c r="B61" s="50"/>
      <c r="D61" s="90"/>
      <c r="E61" s="90"/>
      <c r="F61" s="90"/>
      <c r="G61" s="91"/>
      <c r="H61" s="91"/>
      <c r="I61" s="91"/>
      <c r="J61" s="91"/>
      <c r="K61" s="92"/>
      <c r="L61" s="92"/>
      <c r="M61" s="88"/>
      <c r="N61" s="88"/>
      <c r="O61" s="89"/>
      <c r="P61" s="89"/>
      <c r="Q61" s="64"/>
      <c r="R61" s="75"/>
      <c r="S61" s="75"/>
      <c r="T61" s="75"/>
      <c r="U61" s="75"/>
    </row>
    <row r="62" spans="1:21" x14ac:dyDescent="0.3">
      <c r="A62" s="50"/>
      <c r="B62" s="50"/>
      <c r="D62" s="94"/>
      <c r="E62" s="94"/>
      <c r="F62" s="94"/>
      <c r="G62" s="95"/>
      <c r="H62" s="95"/>
      <c r="I62" s="95"/>
      <c r="J62" s="95"/>
      <c r="K62" s="96"/>
      <c r="L62" s="96"/>
      <c r="M62" s="97"/>
      <c r="N62" s="97"/>
      <c r="O62" s="93"/>
      <c r="P62" s="93"/>
      <c r="Q62" s="64"/>
      <c r="R62" s="64"/>
      <c r="S62" s="64"/>
      <c r="T62" s="64"/>
      <c r="U62" s="64"/>
    </row>
    <row r="63" spans="1:21" x14ac:dyDescent="0.3">
      <c r="A63" s="50"/>
      <c r="B63" s="50"/>
    </row>
    <row r="64" spans="1:21" x14ac:dyDescent="0.3">
      <c r="A64" s="50"/>
      <c r="B64" s="50"/>
    </row>
    <row r="65" spans="1:2" x14ac:dyDescent="0.3">
      <c r="A65" s="50"/>
      <c r="B65" s="50"/>
    </row>
    <row r="66" spans="1:2" x14ac:dyDescent="0.3">
      <c r="A66" s="50"/>
      <c r="B66" s="50"/>
    </row>
  </sheetData>
  <mergeCells count="63">
    <mergeCell ref="A55:B55"/>
    <mergeCell ref="D62:F62"/>
    <mergeCell ref="G62:J62"/>
    <mergeCell ref="K62:L62"/>
    <mergeCell ref="M62:N62"/>
    <mergeCell ref="D60:F60"/>
    <mergeCell ref="G60:J60"/>
    <mergeCell ref="K60:L60"/>
    <mergeCell ref="M60:N60"/>
    <mergeCell ref="D58:F58"/>
    <mergeCell ref="G58:J58"/>
    <mergeCell ref="K58:L58"/>
    <mergeCell ref="M58:N58"/>
    <mergeCell ref="D56:F56"/>
    <mergeCell ref="G56:J56"/>
    <mergeCell ref="K56:L56"/>
    <mergeCell ref="O62:P62"/>
    <mergeCell ref="D61:F61"/>
    <mergeCell ref="G61:J61"/>
    <mergeCell ref="K61:L61"/>
    <mergeCell ref="M61:N61"/>
    <mergeCell ref="O61:P61"/>
    <mergeCell ref="O60:P60"/>
    <mergeCell ref="D59:F59"/>
    <mergeCell ref="G59:J59"/>
    <mergeCell ref="K59:L59"/>
    <mergeCell ref="M59:N59"/>
    <mergeCell ref="O59:P59"/>
    <mergeCell ref="O58:P58"/>
    <mergeCell ref="D57:F57"/>
    <mergeCell ref="G57:J57"/>
    <mergeCell ref="K57:L57"/>
    <mergeCell ref="M57:N57"/>
    <mergeCell ref="O57:P57"/>
    <mergeCell ref="M56:N56"/>
    <mergeCell ref="O56:P56"/>
    <mergeCell ref="D54:F54"/>
    <mergeCell ref="G54:J54"/>
    <mergeCell ref="K54:L54"/>
    <mergeCell ref="M54:N54"/>
    <mergeCell ref="O54:P54"/>
    <mergeCell ref="D55:F55"/>
    <mergeCell ref="G55:J55"/>
    <mergeCell ref="K55:L55"/>
    <mergeCell ref="M55:N55"/>
    <mergeCell ref="O55:P55"/>
    <mergeCell ref="D53:F53"/>
    <mergeCell ref="G53:J53"/>
    <mergeCell ref="K53:L53"/>
    <mergeCell ref="M53:N53"/>
    <mergeCell ref="O53:P53"/>
    <mergeCell ref="A44:B44"/>
    <mergeCell ref="A36:B36"/>
    <mergeCell ref="A3:B3"/>
    <mergeCell ref="A7:B7"/>
    <mergeCell ref="A8:B8"/>
    <mergeCell ref="A12:B12"/>
    <mergeCell ref="A25:B25"/>
    <mergeCell ref="C1:V3"/>
    <mergeCell ref="H6:J7"/>
    <mergeCell ref="L6:N7"/>
    <mergeCell ref="D6:F7"/>
    <mergeCell ref="D8:F10"/>
  </mergeCells>
  <conditionalFormatting sqref="G54:G61">
    <cfRule type="dataBar" priority="1">
      <dataBar>
        <cfvo type="num" val="0"/>
        <cfvo type="max"/>
        <color rgb="FF3C78A8"/>
      </dataBar>
      <extLst>
        <ext xmlns:x14="http://schemas.microsoft.com/office/spreadsheetml/2009/9/main" uri="{B025F937-C7B1-47D3-B67F-A62EFF666E3E}">
          <x14:id>{6A08B5BA-05A3-4430-9B1D-F583EEFB815F}</x14:id>
        </ext>
      </extLst>
    </cfRule>
  </conditionalFormatting>
  <pageMargins left="0.7" right="0.7" top="0.75" bottom="0.75" header="0.3" footer="0.3"/>
  <pageSetup scale="42" orientation="portrait" r:id="rId1"/>
  <colBreaks count="1" manualBreakCount="1">
    <brk id="23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08B5BA-05A3-4430-9B1D-F583EEFB815F}">
            <x14:dataBar axisPosition="none">
              <x14:cfvo type="num">
                <xm:f>0</xm:f>
              </x14:cfvo>
              <x14:cfvo type="max"/>
              <x14:negativeFillColor rgb="FF3C78A8"/>
            </x14:dataBar>
          </x14:cfRule>
          <xm:sqref>G54:G61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MAJOR KPI </vt:lpstr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RATHIKA PRIYANKA S A</dc:creator>
  <cp:lastModifiedBy>RATHIKA PRIYANKA S A</cp:lastModifiedBy>
  <dcterms:created xsi:type="dcterms:W3CDTF">2026-10-16T09:45:00Z</dcterms:created>
  <dcterms:modified xsi:type="dcterms:W3CDTF">2026-10-27T09:50:30Z</dcterms:modified>
</cp:coreProperties>
</file>